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webextensions/webextension1.xml" ContentType="application/vnd.ms-office.webextens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D:\"/>
    </mc:Choice>
  </mc:AlternateContent>
  <xr:revisionPtr revIDLastSave="0" documentId="13_ncr:1_{09712F9D-C255-4D3C-8EA3-9FF6AE65EBDA}" xr6:coauthVersionLast="47" xr6:coauthVersionMax="47" xr10:uidLastSave="{00000000-0000-0000-0000-000000000000}"/>
  <bookViews>
    <workbookView xWindow="-120" yWindow="-120" windowWidth="38640" windowHeight="21120" xr2:uid="{00000000-000D-0000-FFFF-FFFF00000000}"/>
  </bookViews>
  <sheets>
    <sheet name="Input" sheetId="1" r:id="rId1"/>
    <sheet name="Data Processor" sheetId="9" r:id="rId2"/>
    <sheet name="Dashboard Summary" sheetId="6" r:id="rId3"/>
    <sheet name="CEO Input" sheetId="2" r:id="rId4"/>
    <sheet name="CEO Dashboard" sheetId="11" r:id="rId5"/>
    <sheet name="History" sheetId="3" r:id="rId6"/>
    <sheet name="Analytics" sheetId="4" r:id="rId7"/>
    <sheet name="Win Predictor" sheetId="5" r:id="rId8"/>
  </sheets>
  <externalReferences>
    <externalReference r:id="rId9"/>
  </externalReferences>
  <definedNames>
    <definedName name="_xlnm.Print_Area" localSheetId="6">Analytics!$B$1:$G$16</definedName>
    <definedName name="_xlnm.Print_Area" localSheetId="3">'CEO Input'!$B$2:$S$33</definedName>
    <definedName name="_xlnm.Print_Area" localSheetId="2">'Dashboard Summary'!#REF!</definedName>
    <definedName name="_xlnm.Print_Area" localSheetId="1">'Data Processor'!$A$1:$X$50</definedName>
    <definedName name="_xlnm.Print_Area" localSheetId="5">History!$B$1:$Q$30</definedName>
    <definedName name="_xlnm.Print_Area" localSheetId="0">Input!$B$1:$BB$33</definedName>
    <definedName name="_xlnm.Print_Area" localSheetId="7">'Win Predictor'!$B$1:$G$20</definedName>
    <definedName name="projectscount">COUNTA(Input!D10:D31)</definedName>
    <definedName name="Slicer_Client_Category__Sector">#N/A</definedName>
    <definedName name="Slicer_Location_of_Project">#N/A</definedName>
    <definedName name="Slicer_Month_Slicer_Column">#N/A</definedName>
    <definedName name="Slicer_Project_Size">#N/A</definedName>
    <definedName name="Slicer_Project_Type1">#N/A</definedName>
    <definedName name="Slicer_Risk_Index_Based_on__Commercial___Financial_Risk1">#N/A</definedName>
    <definedName name="Slicer_Tender_Typ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5" l="1"/>
  <c r="AD39" i="9"/>
  <c r="AD40" i="9"/>
  <c r="AD41" i="9"/>
  <c r="P3" i="3"/>
  <c r="J8" i="3"/>
  <c r="J9" i="3"/>
  <c r="J10" i="3"/>
  <c r="J11" i="3"/>
  <c r="J12" i="3"/>
  <c r="J13" i="3"/>
  <c r="J14" i="3"/>
  <c r="J15" i="3"/>
  <c r="J16" i="3"/>
  <c r="J17" i="3"/>
  <c r="J18" i="3"/>
  <c r="J19" i="3"/>
  <c r="J20" i="3"/>
  <c r="J21" i="3"/>
  <c r="J22" i="3"/>
  <c r="J23" i="3"/>
  <c r="J24" i="3"/>
  <c r="J25" i="3"/>
  <c r="J26" i="3"/>
  <c r="J27" i="3"/>
  <c r="J28" i="3"/>
  <c r="L8" i="3"/>
  <c r="L9" i="3"/>
  <c r="L10" i="3"/>
  <c r="L11" i="3"/>
  <c r="L12" i="3"/>
  <c r="L13" i="3"/>
  <c r="L14" i="3"/>
  <c r="L15" i="3"/>
  <c r="L16" i="3"/>
  <c r="L17" i="3"/>
  <c r="L18" i="3"/>
  <c r="L19" i="3"/>
  <c r="L20" i="3"/>
  <c r="L21" i="3"/>
  <c r="L22" i="3"/>
  <c r="L23" i="3"/>
  <c r="L24" i="3"/>
  <c r="L25" i="3"/>
  <c r="L26" i="3"/>
  <c r="L27" i="3"/>
  <c r="L28" i="3"/>
  <c r="K8" i="3"/>
  <c r="K9" i="3"/>
  <c r="K10" i="3"/>
  <c r="K11" i="3"/>
  <c r="K12" i="3"/>
  <c r="K13" i="3"/>
  <c r="K14" i="3"/>
  <c r="K17" i="3"/>
  <c r="K18" i="3"/>
  <c r="K19" i="3"/>
  <c r="K21" i="3"/>
  <c r="K22" i="3"/>
  <c r="K23" i="3"/>
  <c r="K25" i="3"/>
  <c r="K27" i="3"/>
  <c r="K28" i="3"/>
  <c r="I8" i="3"/>
  <c r="I9" i="3"/>
  <c r="I10" i="3"/>
  <c r="I11" i="3"/>
  <c r="I12" i="3"/>
  <c r="I13" i="3"/>
  <c r="I14" i="3"/>
  <c r="I15" i="3"/>
  <c r="I16" i="3"/>
  <c r="I17" i="3"/>
  <c r="I18" i="3"/>
  <c r="I19" i="3"/>
  <c r="I20" i="3"/>
  <c r="I21" i="3"/>
  <c r="I22" i="3"/>
  <c r="I23" i="3"/>
  <c r="I24" i="3"/>
  <c r="I25" i="3"/>
  <c r="I26" i="3"/>
  <c r="I27" i="3"/>
  <c r="I28" i="3"/>
  <c r="J7" i="3"/>
  <c r="L7" i="3"/>
  <c r="K7" i="3"/>
  <c r="I7" i="3"/>
  <c r="H8" i="3"/>
  <c r="H9" i="3"/>
  <c r="H10" i="3"/>
  <c r="H11" i="3"/>
  <c r="H12" i="3"/>
  <c r="H13" i="3"/>
  <c r="H14" i="3"/>
  <c r="H15" i="3"/>
  <c r="H16" i="3"/>
  <c r="H17" i="3"/>
  <c r="H18" i="3"/>
  <c r="H19" i="3"/>
  <c r="H20" i="3"/>
  <c r="H21" i="3"/>
  <c r="H22" i="3"/>
  <c r="H23" i="3"/>
  <c r="H24" i="3"/>
  <c r="H25" i="3"/>
  <c r="H26" i="3"/>
  <c r="H27" i="3"/>
  <c r="H28" i="3"/>
  <c r="H7" i="3"/>
  <c r="G8" i="3"/>
  <c r="G9" i="3"/>
  <c r="G10" i="3"/>
  <c r="G11" i="3"/>
  <c r="G12" i="3"/>
  <c r="G13" i="3"/>
  <c r="G14" i="3"/>
  <c r="G15" i="3"/>
  <c r="G16" i="3"/>
  <c r="G17" i="3"/>
  <c r="G18" i="3"/>
  <c r="G19" i="3"/>
  <c r="G20" i="3"/>
  <c r="G21" i="3"/>
  <c r="G22" i="3"/>
  <c r="G23" i="3"/>
  <c r="G24" i="3"/>
  <c r="G25" i="3"/>
  <c r="G26" i="3"/>
  <c r="G27" i="3"/>
  <c r="G28" i="3"/>
  <c r="G7" i="3"/>
  <c r="F8" i="3"/>
  <c r="F9" i="3"/>
  <c r="F10" i="3"/>
  <c r="F11" i="3"/>
  <c r="F12" i="3"/>
  <c r="F13" i="3"/>
  <c r="F14" i="3"/>
  <c r="F15" i="3"/>
  <c r="F16" i="3"/>
  <c r="F17" i="3"/>
  <c r="F18" i="3"/>
  <c r="F19" i="3"/>
  <c r="F20" i="3"/>
  <c r="F21" i="3"/>
  <c r="F22" i="3"/>
  <c r="F23" i="3"/>
  <c r="F24" i="3"/>
  <c r="F25" i="3"/>
  <c r="F26" i="3"/>
  <c r="F27" i="3"/>
  <c r="F28" i="3"/>
  <c r="F7" i="3"/>
  <c r="D23" i="3"/>
  <c r="D24" i="3"/>
  <c r="D25" i="3"/>
  <c r="D26" i="3"/>
  <c r="D27" i="3"/>
  <c r="D28" i="3"/>
  <c r="E28" i="3"/>
  <c r="E23" i="3"/>
  <c r="E24" i="3"/>
  <c r="E25" i="3"/>
  <c r="E26" i="3"/>
  <c r="E27" i="3"/>
  <c r="E8" i="3"/>
  <c r="E9" i="3"/>
  <c r="E10" i="3"/>
  <c r="E11" i="3"/>
  <c r="E12" i="3"/>
  <c r="E13" i="3"/>
  <c r="E14" i="3"/>
  <c r="E15" i="3"/>
  <c r="E16" i="3"/>
  <c r="E17" i="3"/>
  <c r="E18" i="3"/>
  <c r="E19" i="3"/>
  <c r="E20" i="3"/>
  <c r="E21" i="3"/>
  <c r="E22" i="3"/>
  <c r="E7" i="3"/>
  <c r="D8" i="3"/>
  <c r="D9" i="3"/>
  <c r="D10" i="3"/>
  <c r="D11" i="3"/>
  <c r="D12" i="3"/>
  <c r="D13" i="3"/>
  <c r="D14" i="3"/>
  <c r="D15" i="3"/>
  <c r="D16" i="3"/>
  <c r="D17" i="3"/>
  <c r="D18" i="3"/>
  <c r="D19" i="3"/>
  <c r="D20" i="3"/>
  <c r="D21" i="3"/>
  <c r="D22" i="3"/>
  <c r="D7" i="3"/>
  <c r="AC3" i="9"/>
  <c r="AB3" i="9"/>
  <c r="AA3" i="9"/>
  <c r="Z3" i="9"/>
  <c r="AD31" i="9"/>
  <c r="AD32" i="9"/>
  <c r="AD33" i="9"/>
  <c r="AD34" i="9"/>
  <c r="AD35" i="9"/>
  <c r="AD36" i="9"/>
  <c r="AD37" i="9"/>
  <c r="AD38" i="9"/>
  <c r="AD30" i="9"/>
  <c r="C7" i="3" l="1" a="1"/>
  <c r="C7" i="3" s="1"/>
  <c r="N11" i="1"/>
  <c r="N12" i="1"/>
  <c r="N13" i="1"/>
  <c r="N11" i="2" s="1"/>
  <c r="N14" i="1"/>
  <c r="N12" i="2" s="1"/>
  <c r="N15" i="1"/>
  <c r="N13" i="2" s="1"/>
  <c r="N16" i="1"/>
  <c r="N14" i="2" s="1"/>
  <c r="N17" i="1"/>
  <c r="N15" i="2" s="1"/>
  <c r="N18" i="1"/>
  <c r="N16" i="2" s="1"/>
  <c r="N19" i="1"/>
  <c r="N17" i="2" s="1"/>
  <c r="N20" i="1"/>
  <c r="N18" i="2" s="1"/>
  <c r="N21" i="1"/>
  <c r="N19" i="2" s="1"/>
  <c r="N22" i="1"/>
  <c r="N20" i="2" s="1"/>
  <c r="N23" i="1"/>
  <c r="N21" i="2" s="1"/>
  <c r="N24" i="1"/>
  <c r="N22" i="2" s="1"/>
  <c r="N25" i="1"/>
  <c r="N23" i="2" s="1"/>
  <c r="N26" i="1"/>
  <c r="N24" i="2" s="1"/>
  <c r="N27" i="1"/>
  <c r="N25" i="2" s="1"/>
  <c r="N28" i="1"/>
  <c r="N26" i="2" s="1"/>
  <c r="N29" i="1"/>
  <c r="N27" i="2" s="1"/>
  <c r="N30" i="1"/>
  <c r="N28" i="2" s="1"/>
  <c r="N31" i="1"/>
  <c r="N29" i="2" s="1"/>
  <c r="N10" i="1"/>
  <c r="L8" i="2"/>
  <c r="L9" i="2"/>
  <c r="L10" i="2"/>
  <c r="L11" i="2"/>
  <c r="L12" i="2"/>
  <c r="L13" i="2"/>
  <c r="L14" i="2"/>
  <c r="L15" i="2"/>
  <c r="L16" i="2"/>
  <c r="L17" i="2"/>
  <c r="L18" i="2"/>
  <c r="L19" i="2"/>
  <c r="L20" i="2"/>
  <c r="L21" i="2"/>
  <c r="L22" i="2"/>
  <c r="L23" i="2"/>
  <c r="L24" i="2"/>
  <c r="L25" i="2"/>
  <c r="L26" i="2"/>
  <c r="L27" i="2"/>
  <c r="L28" i="2"/>
  <c r="L29" i="2"/>
  <c r="L30" i="2"/>
  <c r="L31" i="2"/>
  <c r="L32" i="2"/>
  <c r="Q8" i="2"/>
  <c r="Q9" i="2"/>
  <c r="Q10" i="2"/>
  <c r="Q11" i="2"/>
  <c r="Q12" i="2"/>
  <c r="Q13" i="2"/>
  <c r="Q14" i="2"/>
  <c r="Q15" i="2"/>
  <c r="Q16" i="2"/>
  <c r="Q17" i="2"/>
  <c r="Q18" i="2"/>
  <c r="Q19" i="2"/>
  <c r="Q20" i="2"/>
  <c r="Q21" i="2"/>
  <c r="Q22" i="2"/>
  <c r="Q23" i="2"/>
  <c r="Q24" i="2"/>
  <c r="Q25" i="2"/>
  <c r="Q26" i="2"/>
  <c r="Q27" i="2"/>
  <c r="Q28" i="2"/>
  <c r="Q29" i="2"/>
  <c r="Q30" i="2"/>
  <c r="Q31" i="2"/>
  <c r="Q32" i="2"/>
  <c r="H30" i="2"/>
  <c r="H31" i="2"/>
  <c r="H32" i="2"/>
  <c r="I30" i="2"/>
  <c r="I31" i="2"/>
  <c r="I32" i="2"/>
  <c r="J30" i="2"/>
  <c r="J31" i="2"/>
  <c r="J32" i="2"/>
  <c r="K30" i="2"/>
  <c r="K31" i="2"/>
  <c r="K32" i="2"/>
  <c r="N30" i="2"/>
  <c r="N31" i="2"/>
  <c r="N32" i="2"/>
  <c r="O30" i="2"/>
  <c r="O31" i="2"/>
  <c r="O32" i="2"/>
  <c r="AU8" i="1"/>
  <c r="AV8" i="1" s="1"/>
  <c r="AU9" i="1"/>
  <c r="AV9" i="1"/>
  <c r="L11" i="1"/>
  <c r="L12" i="1"/>
  <c r="L13" i="1"/>
  <c r="L14" i="1"/>
  <c r="L15" i="1"/>
  <c r="L16" i="1"/>
  <c r="L17" i="1"/>
  <c r="L18" i="1"/>
  <c r="L19" i="1"/>
  <c r="L20" i="1"/>
  <c r="L21" i="1"/>
  <c r="L22" i="1"/>
  <c r="L23" i="1"/>
  <c r="L24" i="1"/>
  <c r="L25" i="1"/>
  <c r="L26" i="1"/>
  <c r="L27" i="1"/>
  <c r="L28" i="1"/>
  <c r="L29" i="1"/>
  <c r="L30" i="1"/>
  <c r="L31" i="1"/>
  <c r="L10" i="1"/>
  <c r="L8" i="1"/>
  <c r="L9" i="1"/>
  <c r="D14" i="2" l="1"/>
  <c r="D15" i="2" s="1"/>
  <c r="AF32" i="9"/>
  <c r="AG35" i="9"/>
  <c r="D10" i="2"/>
  <c r="D11" i="2" s="1"/>
  <c r="AF34" i="9"/>
  <c r="AF40" i="9"/>
  <c r="AF39" i="9"/>
  <c r="AF30" i="9"/>
  <c r="AF35" i="9"/>
  <c r="AF38" i="9"/>
  <c r="AF37" i="9"/>
  <c r="AF33" i="9"/>
  <c r="AF31" i="9"/>
  <c r="AF36" i="9"/>
  <c r="AF41" i="9"/>
  <c r="AG39" i="9"/>
  <c r="AG36" i="9"/>
  <c r="AG33" i="9"/>
  <c r="AG31" i="9"/>
  <c r="AG37" i="9"/>
  <c r="AG41" i="9"/>
  <c r="AG30" i="9"/>
  <c r="AG34" i="9"/>
  <c r="AG38" i="9"/>
  <c r="AG32" i="9"/>
  <c r="AG40" i="9"/>
  <c r="E9" i="4"/>
  <c r="E8" i="4"/>
  <c r="O35" i="2"/>
  <c r="N35" i="2"/>
  <c r="K35" i="2"/>
  <c r="J35" i="2"/>
  <c r="I35" i="2"/>
  <c r="H35" i="2"/>
  <c r="O34" i="2"/>
  <c r="N34" i="2"/>
  <c r="K34" i="2"/>
  <c r="J34" i="2"/>
  <c r="I34" i="2"/>
  <c r="H34" i="2"/>
  <c r="O33" i="2"/>
  <c r="N33" i="2"/>
  <c r="K33" i="2"/>
  <c r="J33" i="2"/>
  <c r="I33" i="2"/>
  <c r="H33" i="2"/>
  <c r="O29" i="2"/>
  <c r="G29" i="2"/>
  <c r="O28" i="2"/>
  <c r="G28" i="2"/>
  <c r="O27" i="2"/>
  <c r="G27" i="2"/>
  <c r="O26" i="2"/>
  <c r="G26" i="2"/>
  <c r="O25" i="2"/>
  <c r="G25" i="2"/>
  <c r="O24" i="2"/>
  <c r="G24" i="2"/>
  <c r="O23" i="2"/>
  <c r="G23" i="2"/>
  <c r="O22" i="2"/>
  <c r="G22" i="2"/>
  <c r="O21" i="2"/>
  <c r="G21" i="2"/>
  <c r="O20" i="2"/>
  <c r="G20" i="2"/>
  <c r="O19" i="2"/>
  <c r="G19" i="2"/>
  <c r="O18" i="2"/>
  <c r="G18" i="2"/>
  <c r="O17" i="2"/>
  <c r="G17" i="2"/>
  <c r="O16" i="2"/>
  <c r="G16" i="2"/>
  <c r="O15" i="2"/>
  <c r="G15" i="2"/>
  <c r="O14" i="2"/>
  <c r="G14" i="2"/>
  <c r="O13" i="2"/>
  <c r="G13" i="2"/>
  <c r="O12" i="2"/>
  <c r="G12" i="2"/>
  <c r="D12" i="2"/>
  <c r="D13" i="2" s="1"/>
  <c r="O11" i="2"/>
  <c r="G11" i="2"/>
  <c r="O10" i="2"/>
  <c r="N10" i="2"/>
  <c r="G10" i="2"/>
  <c r="O9" i="2"/>
  <c r="N9" i="2"/>
  <c r="G9" i="2"/>
  <c r="D9" i="2"/>
  <c r="O8" i="2"/>
  <c r="N8" i="2"/>
  <c r="G8" i="2"/>
  <c r="C7" i="2"/>
  <c r="I28" i="9"/>
  <c r="M27" i="9"/>
  <c r="H27" i="9"/>
  <c r="M26" i="9"/>
  <c r="H26" i="9"/>
  <c r="M25" i="9"/>
  <c r="H25" i="9"/>
  <c r="B3" i="9"/>
  <c r="AT31" i="1"/>
  <c r="AU31" i="1" s="1"/>
  <c r="AV31" i="1" s="1"/>
  <c r="H31" i="1"/>
  <c r="AT30" i="1"/>
  <c r="H30" i="1"/>
  <c r="AT29" i="1"/>
  <c r="K26" i="3" s="1"/>
  <c r="H29" i="1"/>
  <c r="AT28" i="1"/>
  <c r="H28" i="1"/>
  <c r="AT27" i="1"/>
  <c r="K24" i="3" s="1"/>
  <c r="E12" i="4" s="1"/>
  <c r="H27" i="1"/>
  <c r="AT26" i="1"/>
  <c r="H26" i="1"/>
  <c r="AT25" i="1"/>
  <c r="AU25" i="1" s="1"/>
  <c r="AV25" i="1" s="1"/>
  <c r="H25" i="1"/>
  <c r="AT24" i="1"/>
  <c r="H24" i="1"/>
  <c r="AT23" i="1"/>
  <c r="K20" i="3" s="1"/>
  <c r="H23" i="1"/>
  <c r="AT22" i="1"/>
  <c r="AU22" i="1" s="1"/>
  <c r="AV22" i="1" s="1"/>
  <c r="H22" i="1"/>
  <c r="AT21" i="1"/>
  <c r="AU21" i="1" s="1"/>
  <c r="AV21" i="1" s="1"/>
  <c r="H21" i="1"/>
  <c r="AT20" i="1"/>
  <c r="H20" i="1"/>
  <c r="AT19" i="1"/>
  <c r="H19" i="1"/>
  <c r="AT18" i="1"/>
  <c r="H18" i="1"/>
  <c r="AT17" i="1"/>
  <c r="H17" i="1"/>
  <c r="AT16" i="1"/>
  <c r="AU16" i="1" s="1"/>
  <c r="AV16" i="1" s="1"/>
  <c r="H16" i="1"/>
  <c r="AT15" i="1"/>
  <c r="H15" i="1"/>
  <c r="AT14" i="1"/>
  <c r="H14" i="1"/>
  <c r="AT13" i="1"/>
  <c r="H13" i="1"/>
  <c r="AT12" i="1"/>
  <c r="H12" i="1"/>
  <c r="AT11" i="1"/>
  <c r="H11" i="1"/>
  <c r="AT10" i="1"/>
  <c r="AU10" i="1" s="1"/>
  <c r="AV10" i="1" s="1"/>
  <c r="H10" i="1"/>
  <c r="C10" i="1" a="1"/>
  <c r="C10" i="1" s="1"/>
  <c r="O2" i="1"/>
  <c r="J21" i="9"/>
  <c r="J19" i="9"/>
  <c r="J18" i="9"/>
  <c r="J20" i="9"/>
  <c r="AU19" i="1" l="1"/>
  <c r="AV19" i="1" s="1"/>
  <c r="J17" i="2" s="1"/>
  <c r="K16" i="3"/>
  <c r="E11" i="5"/>
  <c r="E10" i="4"/>
  <c r="AU18" i="1"/>
  <c r="AV18" i="1" s="1"/>
  <c r="J16" i="2" s="1"/>
  <c r="K15" i="3"/>
  <c r="AF42" i="9"/>
  <c r="AG42" i="9"/>
  <c r="AE40" i="9"/>
  <c r="AE41" i="9"/>
  <c r="AE38" i="9"/>
  <c r="AE34" i="9"/>
  <c r="AE33" i="9"/>
  <c r="AE37" i="9"/>
  <c r="AE39" i="9"/>
  <c r="AE32" i="9"/>
  <c r="AE31" i="9"/>
  <c r="AE36" i="9"/>
  <c r="AE35" i="9"/>
  <c r="AE30" i="9"/>
  <c r="AH31" i="9"/>
  <c r="AH33" i="9"/>
  <c r="AH37" i="9"/>
  <c r="AH40" i="9"/>
  <c r="AH36" i="9"/>
  <c r="AH34" i="9"/>
  <c r="AH30" i="9"/>
  <c r="AH35" i="9"/>
  <c r="AH32" i="9"/>
  <c r="AH39" i="9"/>
  <c r="AH38" i="9"/>
  <c r="AH41" i="9"/>
  <c r="H9" i="2"/>
  <c r="AU11" i="1"/>
  <c r="H18" i="2"/>
  <c r="AU20" i="1"/>
  <c r="AV20" i="1" s="1"/>
  <c r="AU13" i="1"/>
  <c r="H27" i="2"/>
  <c r="AU29" i="1"/>
  <c r="AW29" i="1" s="1"/>
  <c r="K27" i="2" s="1"/>
  <c r="I23" i="2"/>
  <c r="AX10" i="1"/>
  <c r="H10" i="2"/>
  <c r="AU12" i="1"/>
  <c r="H12" i="2"/>
  <c r="AU14" i="1"/>
  <c r="AV14" i="1" s="1"/>
  <c r="H28" i="2"/>
  <c r="AU30" i="1"/>
  <c r="H15" i="2"/>
  <c r="AU17" i="1"/>
  <c r="H21" i="2"/>
  <c r="AU23" i="1"/>
  <c r="H22" i="2"/>
  <c r="AU24" i="1"/>
  <c r="I29" i="2"/>
  <c r="H24" i="2"/>
  <c r="AU26" i="1"/>
  <c r="AV26" i="1" s="1"/>
  <c r="AU27" i="1"/>
  <c r="AX27" i="1" s="1"/>
  <c r="H26" i="2"/>
  <c r="AU28" i="1"/>
  <c r="H8" i="2"/>
  <c r="H13" i="2"/>
  <c r="AU15" i="1"/>
  <c r="H14" i="2"/>
  <c r="H16" i="2"/>
  <c r="J12" i="2"/>
  <c r="AX21" i="1"/>
  <c r="J19" i="2"/>
  <c r="AW31" i="1"/>
  <c r="K29" i="2" s="1"/>
  <c r="AW25" i="1"/>
  <c r="K23" i="2" s="1"/>
  <c r="AW19" i="1"/>
  <c r="K17" i="2" s="1"/>
  <c r="H11" i="2"/>
  <c r="I19" i="2"/>
  <c r="I17" i="2"/>
  <c r="AX20" i="1"/>
  <c r="AX26" i="1"/>
  <c r="H17" i="2"/>
  <c r="H29" i="2"/>
  <c r="AX22" i="1"/>
  <c r="I24" i="2"/>
  <c r="AX24" i="1"/>
  <c r="AX28" i="1"/>
  <c r="AW22" i="1"/>
  <c r="K20" i="2" s="1"/>
  <c r="J23" i="2"/>
  <c r="F8" i="2" a="1"/>
  <c r="F8" i="2" s="1"/>
  <c r="H20" i="2"/>
  <c r="I20" i="2"/>
  <c r="I14" i="2"/>
  <c r="AX19" i="1"/>
  <c r="AW21" i="1"/>
  <c r="K19" i="2" s="1"/>
  <c r="J8" i="2"/>
  <c r="J18" i="2"/>
  <c r="AW10" i="1"/>
  <c r="K8" i="2" s="1"/>
  <c r="AW20" i="1"/>
  <c r="K18" i="2" s="1"/>
  <c r="AW30" i="1"/>
  <c r="K28" i="2" s="1"/>
  <c r="AX30" i="1"/>
  <c r="I8" i="2"/>
  <c r="AW14" i="1"/>
  <c r="K12" i="2" s="1"/>
  <c r="J29" i="2"/>
  <c r="H25" i="2"/>
  <c r="AW11" i="1"/>
  <c r="K9" i="2" s="1"/>
  <c r="AW24" i="1"/>
  <c r="K22" i="2" s="1"/>
  <c r="AX11" i="1"/>
  <c r="AX31" i="1"/>
  <c r="I18" i="2"/>
  <c r="AW28" i="1"/>
  <c r="K26" i="2" s="1"/>
  <c r="AX15" i="1"/>
  <c r="J20" i="2"/>
  <c r="AX25" i="1"/>
  <c r="I12" i="2"/>
  <c r="I15" i="2"/>
  <c r="H19" i="2"/>
  <c r="J24" i="2"/>
  <c r="H23" i="2"/>
  <c r="AW16" i="1"/>
  <c r="K14" i="2" s="1"/>
  <c r="AW26" i="1"/>
  <c r="K24" i="2" s="1"/>
  <c r="N28" i="9"/>
  <c r="K25" i="9" s="1"/>
  <c r="K27" i="9" s="1"/>
  <c r="M28" i="9"/>
  <c r="J3" i="9" l="1"/>
  <c r="AX18" i="1"/>
  <c r="E10" i="5"/>
  <c r="E13" i="5" s="1"/>
  <c r="E15" i="5" s="1"/>
  <c r="E11" i="4"/>
  <c r="AE42" i="9"/>
  <c r="AH42" i="9"/>
  <c r="AV23" i="1"/>
  <c r="J21" i="2" s="1"/>
  <c r="AX23" i="1"/>
  <c r="AV17" i="1"/>
  <c r="J15" i="2" s="1"/>
  <c r="AX17" i="1"/>
  <c r="AV30" i="1"/>
  <c r="J28" i="2" s="1"/>
  <c r="I28" i="2"/>
  <c r="AV15" i="1"/>
  <c r="J13" i="2" s="1"/>
  <c r="I13" i="2"/>
  <c r="AV12" i="1"/>
  <c r="J10" i="2" s="1"/>
  <c r="AX12" i="1"/>
  <c r="AX14" i="1"/>
  <c r="AW23" i="1"/>
  <c r="K21" i="2" s="1"/>
  <c r="AV28" i="1"/>
  <c r="J26" i="2" s="1"/>
  <c r="I26" i="2"/>
  <c r="AV29" i="1"/>
  <c r="J27" i="2" s="1"/>
  <c r="AX29" i="1"/>
  <c r="AV27" i="1"/>
  <c r="J25" i="2" s="1"/>
  <c r="I25" i="2"/>
  <c r="AW15" i="1"/>
  <c r="K13" i="2" s="1"/>
  <c r="AW17" i="1"/>
  <c r="K15" i="2" s="1"/>
  <c r="AW27" i="1"/>
  <c r="K25" i="2" s="1"/>
  <c r="AV13" i="1"/>
  <c r="J11" i="2" s="1"/>
  <c r="I11" i="2"/>
  <c r="I27" i="2"/>
  <c r="AW13" i="1"/>
  <c r="K11" i="2" s="1"/>
  <c r="AW12" i="1"/>
  <c r="K10" i="2" s="1"/>
  <c r="I10" i="2"/>
  <c r="AX13" i="1"/>
  <c r="I21" i="2"/>
  <c r="AV24" i="1"/>
  <c r="J22" i="2" s="1"/>
  <c r="I22" i="2"/>
  <c r="AV11" i="1"/>
  <c r="J9" i="2" s="1"/>
  <c r="I9" i="2"/>
  <c r="J14" i="2"/>
  <c r="AX16" i="1"/>
  <c r="AW18" i="1"/>
  <c r="K16" i="2" s="1"/>
  <c r="I16" i="2"/>
  <c r="H3" i="9" l="1"/>
  <c r="X3" i="9"/>
  <c r="F3" i="9"/>
  <c r="W3" i="9"/>
  <c r="D3" i="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futureMetadata name="XLDAPR" count="1">
    <bk>
      <extLst>
        <ext uri="{bdbb8cdc-fa1e-496e-a857-3c3f30c029c3}">
          <xda:dynamicArrayProperties fDynamic="1" fCollapsed="0"/>
        </ext>
      </extLst>
    </bk>
  </futureMetadata>
  <cellMetadata count="1">
    <bk>
      <rc t="2" v="0"/>
    </bk>
  </cellMetadata>
  <valueMetadata count="3">
    <bk>
      <rc t="1" v="0"/>
    </bk>
    <bk>
      <rc t="1" v="1"/>
    </bk>
    <bk>
      <rc t="1" v="2"/>
    </bk>
  </valueMetadata>
</metadata>
</file>

<file path=xl/sharedStrings.xml><?xml version="1.0" encoding="utf-8"?>
<sst xmlns="http://schemas.openxmlformats.org/spreadsheetml/2006/main" count="601" uniqueCount="247">
  <si>
    <t>Project Name</t>
  </si>
  <si>
    <t>Client</t>
  </si>
  <si>
    <t>Consultant</t>
  </si>
  <si>
    <t>Estimated Value</t>
  </si>
  <si>
    <t>Total Score</t>
  </si>
  <si>
    <t>Bid Date</t>
  </si>
  <si>
    <t>Sector</t>
  </si>
  <si>
    <t>Result (Won/Lost)</t>
  </si>
  <si>
    <t>Contract Value</t>
  </si>
  <si>
    <t>Gross Margin %</t>
  </si>
  <si>
    <t>Main Competitor</t>
  </si>
  <si>
    <t>Loss Reason</t>
  </si>
  <si>
    <t>Notes</t>
  </si>
  <si>
    <t>Key Metrics</t>
  </si>
  <si>
    <t>Total Bids:</t>
  </si>
  <si>
    <t>Total Wins:</t>
  </si>
  <si>
    <t>Win Rate:</t>
  </si>
  <si>
    <t>Average Score of Wins:</t>
  </si>
  <si>
    <t>Average Score of Losses:</t>
  </si>
  <si>
    <t>Win Prediction Engine</t>
  </si>
  <si>
    <t>Current Project Score:</t>
  </si>
  <si>
    <t>Historical Avg Score (Wins):</t>
  </si>
  <si>
    <t>Historical Avg Score (Losses):</t>
  </si>
  <si>
    <t>Prediction:</t>
  </si>
  <si>
    <t>Guidance:</t>
  </si>
  <si>
    <t>(0-5)</t>
  </si>
  <si>
    <t>Relationship
Strength</t>
  </si>
  <si>
    <t>Budget Known</t>
  </si>
  <si>
    <t>Limited Invitation</t>
  </si>
  <si>
    <t>Similar Experience</t>
  </si>
  <si>
    <t>Technical Advantage</t>
  </si>
  <si>
    <t>Clear Drawings</t>
  </si>
  <si>
    <t>Within Expertise</t>
  </si>
  <si>
    <t>Advance Payment</t>
  </si>
  <si>
    <t>Good Location</t>
  </si>
  <si>
    <t>Equipment Availablility</t>
  </si>
  <si>
    <t>Cash Flow
Capability</t>
  </si>
  <si>
    <t>Client
Reputation</t>
  </si>
  <si>
    <t>Team Availablility</t>
  </si>
  <si>
    <t>Current
Workload</t>
  </si>
  <si>
    <t>Expect
Win %</t>
  </si>
  <si>
    <t>Contractual Risk</t>
  </si>
  <si>
    <t>LD (Liquidated damages)</t>
  </si>
  <si>
    <t>Performance Bond</t>
  </si>
  <si>
    <t>Advance Payment Guarantee</t>
  </si>
  <si>
    <t>Retention</t>
  </si>
  <si>
    <t>Technical Risk</t>
  </si>
  <si>
    <t>New System
(Never Done Before)</t>
  </si>
  <si>
    <t>Complex
MEP</t>
  </si>
  <si>
    <t>Special Authority Approvals</t>
  </si>
  <si>
    <t>Company Load Factor</t>
  </si>
  <si>
    <t>Competitors</t>
  </si>
  <si>
    <t>Commercial &amp; Financial Risk</t>
  </si>
  <si>
    <t>Competitive Position</t>
  </si>
  <si>
    <t>Project Type</t>
  </si>
  <si>
    <t>Project Duration</t>
  </si>
  <si>
    <t>Tender Type</t>
  </si>
  <si>
    <t>Client &amp; Stakeholders</t>
  </si>
  <si>
    <t>Project Profile</t>
  </si>
  <si>
    <t>Decision
Logic</t>
  </si>
  <si>
    <t>Sr.
No</t>
  </si>
  <si>
    <t>Total Bids</t>
  </si>
  <si>
    <t>Won Bids</t>
  </si>
  <si>
    <t>Win Rate</t>
  </si>
  <si>
    <t>Total Pipeline Value</t>
  </si>
  <si>
    <t>Al Rimal</t>
  </si>
  <si>
    <t>Al Qasim</t>
  </si>
  <si>
    <t>Infrastructure</t>
  </si>
  <si>
    <t>Industrial</t>
  </si>
  <si>
    <t>Negotiated</t>
  </si>
  <si>
    <t>6 Months</t>
  </si>
  <si>
    <t>1 Year</t>
  </si>
  <si>
    <t>2 Year</t>
  </si>
  <si>
    <t>3 Year</t>
  </si>
  <si>
    <t>4 Year</t>
  </si>
  <si>
    <t>5 Year</t>
  </si>
  <si>
    <t>Limited</t>
  </si>
  <si>
    <t>Open</t>
  </si>
  <si>
    <t>Building</t>
  </si>
  <si>
    <t>Gov</t>
  </si>
  <si>
    <t>Semi</t>
  </si>
  <si>
    <t>Private</t>
  </si>
  <si>
    <t>Riyadh</t>
  </si>
  <si>
    <t>Low Changes Expected</t>
  </si>
  <si>
    <t>No Impact
on Running Projects</t>
  </si>
  <si>
    <t>Project Size</t>
  </si>
  <si>
    <t>Row Labels</t>
  </si>
  <si>
    <t>GO</t>
  </si>
  <si>
    <t>NO GO</t>
  </si>
  <si>
    <t>REVIEW</t>
  </si>
  <si>
    <t>Grand Total</t>
  </si>
  <si>
    <t>Khobar</t>
  </si>
  <si>
    <t>Abha</t>
  </si>
  <si>
    <t>Jeddah</t>
  </si>
  <si>
    <t>Total No of Projects</t>
  </si>
  <si>
    <t>Average Win %</t>
  </si>
  <si>
    <t>Go Projects</t>
  </si>
  <si>
    <t>Review Projects</t>
  </si>
  <si>
    <t>High Risk Count</t>
  </si>
  <si>
    <t>AECOM</t>
  </si>
  <si>
    <t>None</t>
  </si>
  <si>
    <t>HIGH</t>
  </si>
  <si>
    <t>LOW</t>
  </si>
  <si>
    <t>MEDIUM</t>
  </si>
  <si>
    <t>Count of Risk Index
Based on (Commercial &amp; Financial Risk)</t>
  </si>
  <si>
    <t>Average of Expect
Win %</t>
  </si>
  <si>
    <t>Count of Project Type</t>
  </si>
  <si>
    <t>Value</t>
  </si>
  <si>
    <t>Needle part</t>
  </si>
  <si>
    <t xml:space="preserve">Client Name </t>
  </si>
  <si>
    <t>Count of Tender Type</t>
  </si>
  <si>
    <t>Dhahran</t>
  </si>
  <si>
    <t>Dammam</t>
  </si>
  <si>
    <t>Jubail</t>
  </si>
  <si>
    <t>Tabuk</t>
  </si>
  <si>
    <t>Yanbu</t>
  </si>
  <si>
    <t>Decision Breakdown</t>
  </si>
  <si>
    <t>Count of Projects</t>
  </si>
  <si>
    <t>Guage Meter with Needle</t>
  </si>
  <si>
    <t>Project Type Slicer</t>
  </si>
  <si>
    <t>Client Category Slicer</t>
  </si>
  <si>
    <t>Risk Index Slicer</t>
  </si>
  <si>
    <t>Tender Type Slicer</t>
  </si>
  <si>
    <t>Win Probability by Client Type</t>
  </si>
  <si>
    <t>Location Slicer</t>
  </si>
  <si>
    <t>Umluj</t>
  </si>
  <si>
    <t>Mecca (Makkah)</t>
  </si>
  <si>
    <t>Medina (Madinah)</t>
  </si>
  <si>
    <t>Al-Khobar</t>
  </si>
  <si>
    <t>Ha'il</t>
  </si>
  <si>
    <t>Al-Ahsa (Hofuf)</t>
  </si>
  <si>
    <t>Al-Qatif</t>
  </si>
  <si>
    <t>Najran</t>
  </si>
  <si>
    <t>Al-Bahah</t>
  </si>
  <si>
    <t>Jazan (Jizan)</t>
  </si>
  <si>
    <t>Al-Kharj</t>
  </si>
  <si>
    <t>Al-Ula</t>
  </si>
  <si>
    <t>Ras Tanura</t>
  </si>
  <si>
    <t>Risk Assessment</t>
  </si>
  <si>
    <t>Running Month</t>
  </si>
  <si>
    <t>January</t>
  </si>
  <si>
    <t>March</t>
  </si>
  <si>
    <t>April</t>
  </si>
  <si>
    <t>May</t>
  </si>
  <si>
    <t>June</t>
  </si>
  <si>
    <t>July</t>
  </si>
  <si>
    <t>August</t>
  </si>
  <si>
    <t>September</t>
  </si>
  <si>
    <t>October</t>
  </si>
  <si>
    <t>November</t>
  </si>
  <si>
    <t>December</t>
  </si>
  <si>
    <t>February</t>
  </si>
  <si>
    <t>low</t>
  </si>
  <si>
    <t>medium</t>
  </si>
  <si>
    <t>high</t>
  </si>
  <si>
    <t>total</t>
  </si>
  <si>
    <t>RISK</t>
  </si>
  <si>
    <t>COUNT</t>
  </si>
  <si>
    <t>SCORE</t>
  </si>
  <si>
    <t>Pointer</t>
  </si>
  <si>
    <t>Needle Width</t>
  </si>
  <si>
    <t>Remaining</t>
  </si>
  <si>
    <r>
      <t>270</t>
    </r>
    <r>
      <rPr>
        <vertAlign val="superscript"/>
        <sz val="11"/>
        <color theme="1"/>
        <rFont val="Calibri"/>
        <family val="2"/>
        <scheme val="minor"/>
      </rPr>
      <t xml:space="preserve">o </t>
    </r>
    <r>
      <rPr>
        <sz val="11"/>
        <color theme="1"/>
        <rFont val="Calibri"/>
        <family val="2"/>
        <scheme val="minor"/>
      </rPr>
      <t xml:space="preserve"> Half Pie</t>
    </r>
  </si>
  <si>
    <r>
      <rPr>
        <b/>
        <sz val="12"/>
        <color theme="0"/>
        <rFont val="Georgia Pro"/>
        <family val="1"/>
      </rPr>
      <t>Risk Index</t>
    </r>
    <r>
      <rPr>
        <b/>
        <sz val="11"/>
        <color theme="0"/>
        <rFont val="Georgia Pro"/>
        <family val="1"/>
      </rPr>
      <t xml:space="preserve">
</t>
    </r>
    <r>
      <rPr>
        <b/>
        <sz val="9"/>
        <color theme="0"/>
        <rFont val="Georgia Pro"/>
        <family val="1"/>
      </rPr>
      <t xml:space="preserve">Based on </t>
    </r>
    <r>
      <rPr>
        <b/>
        <sz val="8"/>
        <color theme="0"/>
        <rFont val="Georgia Pro"/>
        <family val="1"/>
      </rPr>
      <t>(Commercial &amp; Financial Risk)</t>
    </r>
  </si>
  <si>
    <t>Financial Duration OK</t>
  </si>
  <si>
    <t>Running Month Slicer</t>
  </si>
  <si>
    <t>Expected Win %</t>
  </si>
  <si>
    <t>Decision</t>
  </si>
  <si>
    <t>Sr. No</t>
  </si>
  <si>
    <t>CEO Input Sheet</t>
  </si>
  <si>
    <t>Risk Index</t>
  </si>
  <si>
    <t>Column1</t>
  </si>
  <si>
    <t>Hard Stop</t>
  </si>
  <si>
    <t>Location of Project</t>
  </si>
  <si>
    <t>Sum of Contract Value</t>
  </si>
  <si>
    <t>Payments</t>
  </si>
  <si>
    <t>Won, Lost &amp; Pending</t>
  </si>
  <si>
    <t>Links</t>
  </si>
  <si>
    <t>Won</t>
  </si>
  <si>
    <t>Lost</t>
  </si>
  <si>
    <t>Pending</t>
  </si>
  <si>
    <t>Sum of Estimated Value</t>
  </si>
  <si>
    <t>Risk Projects</t>
  </si>
  <si>
    <t>Rejected</t>
  </si>
  <si>
    <t>Column Chart of Contract &amp; Estimated Value</t>
  </si>
  <si>
    <t>Count of Location of Project</t>
  </si>
  <si>
    <t>Won, Lost, Pending</t>
  </si>
  <si>
    <t>Count of Won, Lost, Pending</t>
  </si>
  <si>
    <t>Submission
Date</t>
  </si>
  <si>
    <t>Year</t>
  </si>
  <si>
    <t>2026</t>
  </si>
  <si>
    <t>2022</t>
  </si>
  <si>
    <t>2023</t>
  </si>
  <si>
    <t>2024</t>
  </si>
  <si>
    <t>Count of Won, Lost &amp; Pending</t>
  </si>
  <si>
    <t>Count of Decision
Logic</t>
  </si>
  <si>
    <t>Active &amp; Awaiting Projects</t>
  </si>
  <si>
    <t>Active</t>
  </si>
  <si>
    <t>Awaiting</t>
  </si>
  <si>
    <t>Pipeline Status</t>
  </si>
  <si>
    <t>Graph Chart for Won Projects</t>
  </si>
  <si>
    <t>Active Projects</t>
  </si>
  <si>
    <t>Count of Active &amp; Awaiting Projects</t>
  </si>
  <si>
    <t>No Price Breakers
(Lump-Sum)</t>
  </si>
  <si>
    <t>Awaiting Projects</t>
  </si>
  <si>
    <t>Actual Spend</t>
  </si>
  <si>
    <t>Kharj</t>
  </si>
  <si>
    <t>Dahran</t>
  </si>
  <si>
    <t>Hail</t>
  </si>
  <si>
    <t>Ahasa</t>
  </si>
  <si>
    <t>Qatif</t>
  </si>
  <si>
    <t>Bahah</t>
  </si>
  <si>
    <t>Jizan</t>
  </si>
  <si>
    <t>Ula</t>
  </si>
  <si>
    <t>Hofuf</t>
  </si>
  <si>
    <t>Jan</t>
  </si>
  <si>
    <t>Feb</t>
  </si>
  <si>
    <t>Mar</t>
  </si>
  <si>
    <t>Apr</t>
  </si>
  <si>
    <t>Jun</t>
  </si>
  <si>
    <t>Jul</t>
  </si>
  <si>
    <t>Aug</t>
  </si>
  <si>
    <t>Sep</t>
  </si>
  <si>
    <t>Oct</t>
  </si>
  <si>
    <t>Nov</t>
  </si>
  <si>
    <t>Dec</t>
  </si>
  <si>
    <t>Month Slicer Column</t>
  </si>
  <si>
    <t>Count of Month Slicer Column</t>
  </si>
  <si>
    <t>Sum of Expect
Win %</t>
  </si>
  <si>
    <t>Win Probability by Location</t>
  </si>
  <si>
    <t>Month</t>
  </si>
  <si>
    <t>Graph chart by Month Showing Won, Lost Projects</t>
  </si>
  <si>
    <t>Total</t>
  </si>
  <si>
    <t>Won Projects</t>
  </si>
  <si>
    <t>Pending Projects</t>
  </si>
  <si>
    <t>Lost Projects</t>
  </si>
  <si>
    <t>Rejected Projects</t>
  </si>
  <si>
    <t>Count of Decision</t>
  </si>
  <si>
    <t>Pie Chart</t>
  </si>
  <si>
    <t>2025</t>
  </si>
  <si>
    <t>Total Active Projects Pipline Value</t>
  </si>
  <si>
    <t>Project Management Consultancy
(if any)</t>
  </si>
  <si>
    <t>Client Category
(Sector)</t>
  </si>
  <si>
    <t>Remarks
(Reason of Won, Lost &amp; Rejected)</t>
  </si>
  <si>
    <t>Count of Client Category
(Sector)</t>
  </si>
  <si>
    <r>
      <t xml:space="preserve">CEO DASHBOARD SUMMARY PIVOT TABLES
</t>
    </r>
    <r>
      <rPr>
        <b/>
        <i/>
        <u/>
        <sz val="20"/>
        <color theme="0" tint="-0.14999847407452621"/>
        <rFont val="Britannic Bold"/>
        <family val="2"/>
      </rPr>
      <t>Created by M Adeel QS.  0550634001</t>
    </r>
  </si>
  <si>
    <r>
      <t xml:space="preserve">DASHBOARD SUMMARY PIVOT TABLES
</t>
    </r>
    <r>
      <rPr>
        <b/>
        <i/>
        <u/>
        <sz val="20"/>
        <color theme="0" tint="-0.14999847407452621"/>
        <rFont val="Britannic Bold"/>
        <family val="2"/>
      </rPr>
      <t>Created by M Adeel QS.  0550634001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</si>
</sst>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SAR]\ #,##0_);[Red]\([$SAR]\ #,##0\)"/>
    <numFmt numFmtId="165" formatCode="@\ * \:"/>
    <numFmt numFmtId="166" formatCode="#,,\ &quot;Million SAR&quot;"/>
    <numFmt numFmtId="167" formatCode="yyyy"/>
    <numFmt numFmtId="168" formatCode="dd/mm/yyyy;@"/>
    <numFmt numFmtId="169" formatCode="#\ &quot;/135&quot;"/>
  </numFmts>
  <fonts count="36" x14ac:knownFonts="1">
    <font>
      <sz val="11"/>
      <color theme="1"/>
      <name val="Calibri"/>
      <family val="2"/>
      <scheme val="minor"/>
    </font>
    <font>
      <sz val="11"/>
      <color theme="1"/>
      <name val="Calibri"/>
      <family val="2"/>
      <scheme val="minor"/>
    </font>
    <font>
      <b/>
      <sz val="11"/>
      <color theme="0"/>
      <name val="Georgia Pro"/>
      <family val="1"/>
    </font>
    <font>
      <b/>
      <sz val="11"/>
      <color theme="0"/>
      <name val="Georgia"/>
      <family val="1"/>
    </font>
    <font>
      <sz val="11"/>
      <color theme="1"/>
      <name val="Georgia"/>
      <family val="1"/>
    </font>
    <font>
      <sz val="11"/>
      <color theme="1"/>
      <name val="Georgia Pro"/>
      <family val="1"/>
    </font>
    <font>
      <b/>
      <sz val="12"/>
      <color theme="0"/>
      <name val="Georgia Pro"/>
      <family val="1"/>
    </font>
    <font>
      <b/>
      <sz val="12"/>
      <color theme="1"/>
      <name val="Calibri"/>
      <family val="2"/>
      <scheme val="minor"/>
    </font>
    <font>
      <b/>
      <sz val="14"/>
      <color theme="0"/>
      <name val="Georgia Pro"/>
      <family val="1"/>
    </font>
    <font>
      <b/>
      <sz val="9"/>
      <color theme="0"/>
      <name val="Georgia Pro"/>
      <family val="1"/>
    </font>
    <font>
      <sz val="11"/>
      <color theme="1"/>
      <name val="Algerian"/>
      <family val="5"/>
    </font>
    <font>
      <sz val="8"/>
      <name val="Calibri"/>
      <family val="2"/>
      <scheme val="minor"/>
    </font>
    <font>
      <b/>
      <sz val="11"/>
      <color theme="1"/>
      <name val="Georgia"/>
      <family val="1"/>
    </font>
    <font>
      <vertAlign val="superscript"/>
      <sz val="11"/>
      <color theme="1"/>
      <name val="Calibri"/>
      <family val="2"/>
      <scheme val="minor"/>
    </font>
    <font>
      <b/>
      <sz val="8"/>
      <color theme="0"/>
      <name val="Georgia Pro"/>
      <family val="1"/>
    </font>
    <font>
      <sz val="14"/>
      <color theme="1"/>
      <name val="Georgia Pro"/>
      <family val="1"/>
    </font>
    <font>
      <b/>
      <sz val="14"/>
      <color theme="1"/>
      <name val="Georgia Pro"/>
      <family val="1"/>
    </font>
    <font>
      <b/>
      <sz val="16"/>
      <color theme="1"/>
      <name val="Georgia Pro"/>
      <family val="1"/>
    </font>
    <font>
      <b/>
      <sz val="16"/>
      <color theme="0" tint="-0.14999847407452621"/>
      <name val="Georgia Pro"/>
      <family val="1"/>
    </font>
    <font>
      <b/>
      <sz val="18"/>
      <color theme="0" tint="-0.14999847407452621"/>
      <name val="Georgia Pro"/>
      <family val="1"/>
    </font>
    <font>
      <b/>
      <i/>
      <u/>
      <sz val="33"/>
      <color theme="0" tint="-0.14999847407452621"/>
      <name val="Britannic Bold"/>
      <family val="2"/>
    </font>
    <font>
      <sz val="16"/>
      <color theme="1"/>
      <name val="Georgia Pro"/>
      <family val="1"/>
    </font>
    <font>
      <sz val="16"/>
      <color theme="0"/>
      <name val="Georgia Pro"/>
      <family val="1"/>
    </font>
    <font>
      <b/>
      <sz val="11"/>
      <color rgb="FF00B0F0"/>
      <name val="Georgia Pro"/>
      <family val="1"/>
    </font>
    <font>
      <b/>
      <sz val="11"/>
      <color rgb="FFB91C1C"/>
      <name val="Georgia Pro"/>
      <family val="1"/>
    </font>
    <font>
      <sz val="14"/>
      <color theme="0"/>
      <name val="Georgia Pro"/>
      <family val="1"/>
    </font>
    <font>
      <b/>
      <sz val="12"/>
      <color theme="1"/>
      <name val="Georgia"/>
      <family val="1"/>
    </font>
    <font>
      <b/>
      <sz val="11"/>
      <color theme="9" tint="-0.249977111117893"/>
      <name val="Georgia Pro"/>
      <family val="1"/>
    </font>
    <font>
      <b/>
      <sz val="11"/>
      <color rgb="FFFF00FF"/>
      <name val="Georgia Pro"/>
      <family val="1"/>
    </font>
    <font>
      <b/>
      <sz val="20"/>
      <color theme="1"/>
      <name val="Georgia Pro"/>
      <family val="1"/>
    </font>
    <font>
      <b/>
      <sz val="16"/>
      <color theme="0"/>
      <name val="Georgia Pro"/>
      <family val="1"/>
    </font>
    <font>
      <b/>
      <sz val="18"/>
      <color theme="0"/>
      <name val="Georgia Pro"/>
      <family val="1"/>
    </font>
    <font>
      <sz val="18"/>
      <color theme="1"/>
      <name val="Georgia Pro"/>
      <family val="1"/>
    </font>
    <font>
      <sz val="18"/>
      <color theme="0"/>
      <name val="Georgia Pro"/>
      <family val="1"/>
    </font>
    <font>
      <b/>
      <sz val="11"/>
      <color theme="1"/>
      <name val="Calibri"/>
      <family val="2"/>
      <scheme val="minor"/>
    </font>
    <font>
      <b/>
      <i/>
      <u/>
      <sz val="20"/>
      <color theme="0" tint="-0.14999847407452621"/>
      <name val="Britannic Bold"/>
      <family val="2"/>
    </font>
  </fonts>
  <fills count="18">
    <fill>
      <patternFill patternType="none"/>
    </fill>
    <fill>
      <patternFill patternType="gray125"/>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3"/>
        <bgColor indexed="64"/>
      </patternFill>
    </fill>
    <fill>
      <patternFill patternType="solid">
        <fgColor rgb="FFFFFF00"/>
        <bgColor indexed="64"/>
      </patternFill>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theme="1" tint="0.249977111117893"/>
        <bgColor theme="4" tint="0.79998168889431442"/>
      </patternFill>
    </fill>
    <fill>
      <patternFill patternType="solid">
        <fgColor theme="4" tint="0.79998168889431442"/>
        <bgColor indexed="64"/>
      </patternFill>
    </fill>
    <fill>
      <patternFill patternType="solid">
        <fgColor theme="2" tint="-0.249977111117893"/>
        <bgColor indexed="64"/>
      </patternFill>
    </fill>
    <fill>
      <patternFill patternType="solid">
        <fgColor theme="1" tint="4.9989318521683403E-2"/>
        <bgColor indexed="64"/>
      </patternFill>
    </fill>
    <fill>
      <patternFill patternType="solid">
        <fgColor theme="1" tint="0.34998626667073579"/>
        <bgColor indexed="64"/>
      </patternFill>
    </fill>
    <fill>
      <patternFill patternType="solid">
        <fgColor theme="3" tint="-0.499984740745262"/>
        <bgColor indexed="64"/>
      </patternFill>
    </fill>
  </fills>
  <borders count="4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theme="0"/>
      </left>
      <right/>
      <top style="thin">
        <color indexed="64"/>
      </top>
      <bottom/>
      <diagonal/>
    </border>
    <border>
      <left style="thin">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thin">
        <color theme="0"/>
      </left>
      <right/>
      <top/>
      <bottom style="thin">
        <color indexed="64"/>
      </bottom>
      <diagonal/>
    </border>
    <border>
      <left style="medium">
        <color indexed="64"/>
      </left>
      <right style="medium">
        <color indexed="64"/>
      </right>
      <top style="medium">
        <color indexed="64"/>
      </top>
      <bottom style="medium">
        <color indexed="64"/>
      </bottom>
      <diagonal/>
    </border>
    <border>
      <left style="thin">
        <color theme="0"/>
      </left>
      <right/>
      <top/>
      <bottom/>
      <diagonal/>
    </border>
    <border>
      <left style="thin">
        <color theme="0"/>
      </left>
      <right/>
      <top style="thin">
        <color indexed="64"/>
      </top>
      <bottom style="thin">
        <color indexed="64"/>
      </bottom>
      <diagonal/>
    </border>
    <border>
      <left/>
      <right style="double">
        <color theme="0"/>
      </right>
      <top style="medium">
        <color indexed="64"/>
      </top>
      <bottom/>
      <diagonal/>
    </border>
    <border>
      <left/>
      <right style="double">
        <color theme="0"/>
      </right>
      <top/>
      <bottom/>
      <diagonal/>
    </border>
    <border>
      <left/>
      <right style="thin">
        <color theme="0"/>
      </right>
      <top style="thin">
        <color theme="0"/>
      </top>
      <bottom style="thin">
        <color theme="0"/>
      </bottom>
      <diagonal/>
    </border>
    <border>
      <left style="double">
        <color theme="0"/>
      </left>
      <right style="double">
        <color theme="0"/>
      </right>
      <top style="thin">
        <color theme="0"/>
      </top>
      <bottom style="thin">
        <color theme="0"/>
      </bottom>
      <diagonal/>
    </border>
    <border>
      <left/>
      <right style="double">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2">
    <xf numFmtId="0" fontId="0" fillId="0" borderId="0"/>
    <xf numFmtId="9" fontId="1" fillId="0" borderId="0" applyFont="0" applyFill="0" applyBorder="0" applyAlignment="0" applyProtection="0"/>
  </cellStyleXfs>
  <cellXfs count="294">
    <xf numFmtId="0" fontId="0" fillId="0" borderId="0" xfId="0"/>
    <xf numFmtId="0" fontId="0" fillId="4" borderId="0" xfId="0" applyFill="1" applyAlignment="1">
      <alignment horizontal="center" vertical="center"/>
    </xf>
    <xf numFmtId="0" fontId="0" fillId="0" borderId="0" xfId="0"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0" xfId="0" applyFont="1" applyFill="1" applyAlignment="1">
      <alignment horizontal="center" vertical="center"/>
    </xf>
    <xf numFmtId="22" fontId="2" fillId="2" borderId="10" xfId="0" applyNumberFormat="1" applyFont="1" applyFill="1" applyBorder="1"/>
    <xf numFmtId="22" fontId="2" fillId="2" borderId="11" xfId="0" applyNumberFormat="1" applyFont="1" applyFill="1" applyBorder="1"/>
    <xf numFmtId="22" fontId="2" fillId="2" borderId="11" xfId="0" applyNumberFormat="1" applyFont="1" applyFill="1" applyBorder="1" applyAlignment="1">
      <alignment horizontal="left"/>
    </xf>
    <xf numFmtId="0" fontId="3" fillId="2" borderId="11" xfId="0" applyFont="1" applyFill="1" applyBorder="1" applyAlignment="1">
      <alignment horizontal="center" vertical="center"/>
    </xf>
    <xf numFmtId="0" fontId="4" fillId="4" borderId="0" xfId="0" applyFont="1" applyFill="1" applyAlignment="1">
      <alignment horizontal="center" vertical="center"/>
    </xf>
    <xf numFmtId="0" fontId="5" fillId="0" borderId="4" xfId="0" applyFont="1" applyBorder="1" applyAlignment="1">
      <alignment horizontal="center" vertical="center"/>
    </xf>
    <xf numFmtId="0" fontId="4" fillId="0" borderId="0" xfId="0" applyFont="1" applyAlignment="1">
      <alignment horizontal="center" vertical="center"/>
    </xf>
    <xf numFmtId="0" fontId="7" fillId="4" borderId="0" xfId="0" applyFont="1" applyFill="1" applyAlignment="1">
      <alignment horizontal="center" vertical="center" wrapText="1"/>
    </xf>
    <xf numFmtId="0" fontId="6" fillId="2" borderId="24" xfId="0" applyFont="1" applyFill="1" applyBorder="1" applyAlignment="1">
      <alignment horizontal="center" vertical="center" wrapText="1"/>
    </xf>
    <xf numFmtId="0" fontId="7" fillId="0" borderId="0" xfId="0" applyFont="1" applyAlignment="1">
      <alignment horizontal="center" vertical="center" wrapText="1"/>
    </xf>
    <xf numFmtId="14" fontId="0" fillId="4" borderId="0" xfId="0" applyNumberFormat="1" applyFill="1" applyAlignment="1">
      <alignment horizontal="center" vertical="center"/>
    </xf>
    <xf numFmtId="14" fontId="4" fillId="4" borderId="0" xfId="0" applyNumberFormat="1" applyFont="1" applyFill="1" applyAlignment="1">
      <alignment horizontal="center" vertical="center"/>
    </xf>
    <xf numFmtId="14" fontId="4" fillId="0" borderId="0" xfId="0" applyNumberFormat="1" applyFont="1" applyAlignment="1">
      <alignment horizontal="center" vertical="center"/>
    </xf>
    <xf numFmtId="14" fontId="0" fillId="0" borderId="0" xfId="0" applyNumberFormat="1" applyAlignment="1">
      <alignment horizontal="center" vertical="center"/>
    </xf>
    <xf numFmtId="0" fontId="6" fillId="2" borderId="26" xfId="0" applyFont="1" applyFill="1" applyBorder="1" applyAlignment="1">
      <alignment horizontal="center" vertical="center" wrapText="1"/>
    </xf>
    <xf numFmtId="0" fontId="6" fillId="2" borderId="26" xfId="0" applyFont="1" applyFill="1" applyBorder="1" applyAlignment="1">
      <alignment horizontal="center" vertical="center" wrapText="1" readingOrder="2"/>
    </xf>
    <xf numFmtId="0" fontId="6" fillId="2" borderId="31"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26" xfId="0" applyFont="1" applyFill="1" applyBorder="1" applyAlignment="1">
      <alignment horizontal="center" vertical="center" wrapText="1"/>
    </xf>
    <xf numFmtId="14" fontId="2" fillId="3" borderId="25" xfId="0" applyNumberFormat="1" applyFont="1" applyFill="1" applyBorder="1" applyAlignment="1">
      <alignment vertical="center" wrapText="1"/>
    </xf>
    <xf numFmtId="0" fontId="6" fillId="3" borderId="25" xfId="0" applyFont="1" applyFill="1" applyBorder="1" applyAlignment="1">
      <alignment vertical="center" wrapText="1"/>
    </xf>
    <xf numFmtId="0" fontId="2" fillId="3" borderId="25" xfId="0" applyFont="1" applyFill="1" applyBorder="1" applyAlignment="1">
      <alignment vertical="center" wrapText="1"/>
    </xf>
    <xf numFmtId="0" fontId="5" fillId="0" borderId="32" xfId="0" applyFont="1" applyBorder="1" applyAlignment="1">
      <alignment horizontal="center" vertical="center"/>
    </xf>
    <xf numFmtId="14" fontId="2" fillId="2" borderId="26" xfId="0" applyNumberFormat="1" applyFont="1" applyFill="1" applyBorder="1" applyAlignment="1">
      <alignment horizontal="center" vertical="center" wrapText="1"/>
    </xf>
    <xf numFmtId="0" fontId="10" fillId="3" borderId="0" xfId="0" applyFont="1" applyFill="1" applyAlignment="1">
      <alignment horizontal="left"/>
    </xf>
    <xf numFmtId="9" fontId="4" fillId="0" borderId="0" xfId="1" applyFont="1" applyAlignment="1">
      <alignment horizontal="center" vertical="center"/>
    </xf>
    <xf numFmtId="14" fontId="2" fillId="2" borderId="25" xfId="0" applyNumberFormat="1" applyFont="1" applyFill="1" applyBorder="1" applyAlignment="1">
      <alignment horizontal="center" vertical="center" wrapText="1"/>
    </xf>
    <xf numFmtId="0" fontId="0" fillId="4" borderId="32" xfId="0" applyFill="1" applyBorder="1" applyAlignment="1">
      <alignment horizontal="center" vertical="center"/>
    </xf>
    <xf numFmtId="0" fontId="5" fillId="6" borderId="32" xfId="0" applyFont="1" applyFill="1" applyBorder="1" applyAlignment="1">
      <alignment horizontal="center" vertical="center"/>
    </xf>
    <xf numFmtId="0" fontId="5" fillId="5" borderId="32" xfId="0" applyFont="1" applyFill="1" applyBorder="1" applyAlignment="1">
      <alignment horizontal="center" vertical="center"/>
    </xf>
    <xf numFmtId="0" fontId="0" fillId="4" borderId="33" xfId="0" applyFill="1" applyBorder="1" applyAlignment="1">
      <alignment horizontal="center" vertical="center"/>
    </xf>
    <xf numFmtId="9" fontId="5" fillId="6" borderId="32" xfId="1" applyFont="1" applyFill="1" applyBorder="1" applyAlignment="1">
      <alignment horizontal="center" vertical="center"/>
    </xf>
    <xf numFmtId="9" fontId="5" fillId="5" borderId="32" xfId="1" applyFont="1" applyFill="1" applyBorder="1" applyAlignment="1">
      <alignment horizontal="center" vertical="center"/>
    </xf>
    <xf numFmtId="0" fontId="5" fillId="0" borderId="33" xfId="0" applyFont="1" applyBorder="1" applyAlignment="1">
      <alignment horizontal="center" vertical="center"/>
    </xf>
    <xf numFmtId="164" fontId="5" fillId="0" borderId="33" xfId="0" applyNumberFormat="1" applyFont="1" applyBorder="1" applyAlignment="1">
      <alignment horizontal="center" vertical="center"/>
    </xf>
    <xf numFmtId="164" fontId="5" fillId="0" borderId="33" xfId="0" applyNumberFormat="1" applyFont="1" applyBorder="1" applyAlignment="1">
      <alignment horizontal="center" vertical="center" wrapText="1"/>
    </xf>
    <xf numFmtId="14" fontId="2" fillId="2" borderId="31" xfId="0" applyNumberFormat="1" applyFont="1" applyFill="1" applyBorder="1" applyAlignment="1">
      <alignment horizontal="center" vertical="center" wrapText="1"/>
    </xf>
    <xf numFmtId="9" fontId="4" fillId="0" borderId="0" xfId="0" applyNumberFormat="1" applyFont="1" applyAlignment="1">
      <alignment horizontal="center" vertical="center"/>
    </xf>
    <xf numFmtId="0" fontId="0" fillId="9" borderId="0" xfId="0" applyFill="1"/>
    <xf numFmtId="165" fontId="16" fillId="11" borderId="19" xfId="0" applyNumberFormat="1" applyFont="1" applyFill="1" applyBorder="1" applyAlignment="1">
      <alignment vertical="center"/>
    </xf>
    <xf numFmtId="0" fontId="17" fillId="11" borderId="22" xfId="0" applyFont="1" applyFill="1" applyBorder="1" applyAlignment="1">
      <alignment horizontal="center" vertical="center"/>
    </xf>
    <xf numFmtId="165" fontId="16" fillId="11" borderId="20" xfId="0" applyNumberFormat="1" applyFont="1" applyFill="1" applyBorder="1" applyAlignment="1">
      <alignment vertical="center"/>
    </xf>
    <xf numFmtId="0" fontId="17" fillId="11" borderId="21" xfId="0" applyFont="1" applyFill="1" applyBorder="1" applyAlignment="1">
      <alignment horizontal="center" vertical="center"/>
    </xf>
    <xf numFmtId="164" fontId="16" fillId="11" borderId="36" xfId="0" applyNumberFormat="1" applyFont="1" applyFill="1" applyBorder="1" applyAlignment="1">
      <alignment horizontal="center" vertical="center"/>
    </xf>
    <xf numFmtId="164" fontId="16" fillId="11" borderId="21" xfId="0" applyNumberFormat="1" applyFont="1" applyFill="1" applyBorder="1" applyAlignment="1">
      <alignment horizontal="center" vertical="center"/>
    </xf>
    <xf numFmtId="164" fontId="16" fillId="11" borderId="23" xfId="0" applyNumberFormat="1" applyFont="1" applyFill="1" applyBorder="1" applyAlignment="1">
      <alignment horizontal="center" vertical="center"/>
    </xf>
    <xf numFmtId="0" fontId="21" fillId="0" borderId="0" xfId="0" applyFont="1" applyAlignment="1">
      <alignment horizontal="center" vertical="center"/>
    </xf>
    <xf numFmtId="0" fontId="18" fillId="10" borderId="0" xfId="0" applyFont="1" applyFill="1" applyAlignment="1">
      <alignment horizontal="center" vertical="center" wrapText="1"/>
    </xf>
    <xf numFmtId="0" fontId="15" fillId="0" borderId="0" xfId="0" applyFont="1" applyAlignment="1">
      <alignment vertical="center"/>
    </xf>
    <xf numFmtId="0" fontId="15" fillId="0" borderId="0" xfId="0" applyFont="1" applyAlignment="1">
      <alignment horizontal="center" vertical="center"/>
    </xf>
    <xf numFmtId="0" fontId="15" fillId="0" borderId="27" xfId="0" applyFont="1" applyBorder="1" applyAlignment="1">
      <alignment horizontal="center" vertical="center"/>
    </xf>
    <xf numFmtId="9" fontId="15" fillId="0" borderId="27" xfId="0" applyNumberFormat="1" applyFont="1" applyBorder="1" applyAlignment="1">
      <alignment horizontal="center" vertical="center"/>
    </xf>
    <xf numFmtId="0" fontId="15" fillId="0" borderId="19" xfId="0" applyFont="1" applyBorder="1" applyAlignment="1">
      <alignment vertical="center"/>
    </xf>
    <xf numFmtId="0" fontId="15" fillId="0" borderId="22" xfId="0" applyFont="1" applyBorder="1" applyAlignment="1">
      <alignment horizontal="center" vertical="center"/>
    </xf>
    <xf numFmtId="0" fontId="15" fillId="0" borderId="20" xfId="0" applyFont="1" applyBorder="1" applyAlignment="1">
      <alignment vertical="center"/>
    </xf>
    <xf numFmtId="0" fontId="15" fillId="0" borderId="21" xfId="0" applyFont="1" applyBorder="1" applyAlignment="1">
      <alignment horizontal="center" vertical="center"/>
    </xf>
    <xf numFmtId="0" fontId="15" fillId="0" borderId="10" xfId="0" applyFont="1" applyBorder="1" applyAlignment="1">
      <alignment horizontal="center" vertical="center"/>
    </xf>
    <xf numFmtId="0" fontId="15" fillId="0" borderId="12" xfId="0" applyFont="1" applyBorder="1" applyAlignment="1">
      <alignment horizontal="center" vertical="center"/>
    </xf>
    <xf numFmtId="166" fontId="15" fillId="0" borderId="0" xfId="0" applyNumberFormat="1" applyFont="1" applyAlignment="1">
      <alignment horizontal="center" vertical="center"/>
    </xf>
    <xf numFmtId="0" fontId="22" fillId="0" borderId="0" xfId="0" applyFont="1" applyAlignment="1">
      <alignment horizontal="center" vertical="center" wrapText="1"/>
    </xf>
    <xf numFmtId="164" fontId="15" fillId="0" borderId="27" xfId="0" applyNumberFormat="1" applyFont="1" applyBorder="1" applyAlignment="1">
      <alignment horizontal="center" vertical="center"/>
    </xf>
    <xf numFmtId="0" fontId="6" fillId="2" borderId="25" xfId="0" applyFont="1" applyFill="1" applyBorder="1" applyAlignment="1">
      <alignment horizontal="center" vertical="center" wrapText="1"/>
    </xf>
    <xf numFmtId="14" fontId="3" fillId="2" borderId="13" xfId="0" applyNumberFormat="1" applyFont="1" applyFill="1" applyBorder="1" applyAlignment="1">
      <alignment horizontal="center"/>
    </xf>
    <xf numFmtId="14" fontId="3" fillId="2" borderId="14" xfId="0" applyNumberFormat="1" applyFont="1" applyFill="1" applyBorder="1" applyAlignment="1">
      <alignment horizontal="center"/>
    </xf>
    <xf numFmtId="14" fontId="3" fillId="2" borderId="15" xfId="0" applyNumberFormat="1" applyFont="1" applyFill="1" applyBorder="1" applyAlignment="1">
      <alignment horizontal="center"/>
    </xf>
    <xf numFmtId="22" fontId="19" fillId="10" borderId="0" xfId="0" applyNumberFormat="1" applyFont="1" applyFill="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9"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4" fillId="0" borderId="0" xfId="1" applyNumberFormat="1" applyFont="1" applyAlignment="1">
      <alignment horizontal="center" vertical="center"/>
    </xf>
    <xf numFmtId="164" fontId="4" fillId="0" borderId="0" xfId="0" applyNumberFormat="1" applyFont="1" applyAlignment="1">
      <alignment horizontal="center" vertical="center"/>
    </xf>
    <xf numFmtId="0" fontId="6" fillId="2" borderId="17" xfId="0" applyFont="1" applyFill="1" applyBorder="1" applyAlignment="1">
      <alignment horizontal="center" vertical="center" wrapText="1"/>
    </xf>
    <xf numFmtId="0" fontId="5" fillId="12" borderId="27" xfId="0" applyFont="1" applyFill="1" applyBorder="1" applyAlignment="1">
      <alignment horizontal="center" vertical="center"/>
    </xf>
    <xf numFmtId="0" fontId="0" fillId="2" borderId="0" xfId="0" applyFill="1" applyAlignment="1">
      <alignment horizontal="center" vertical="center"/>
    </xf>
    <xf numFmtId="0" fontId="6" fillId="3" borderId="34" xfId="0" applyFont="1" applyFill="1" applyBorder="1" applyAlignment="1">
      <alignment vertical="center" wrapText="1"/>
    </xf>
    <xf numFmtId="0" fontId="5" fillId="12" borderId="26" xfId="0" applyFont="1" applyFill="1" applyBorder="1" applyAlignment="1">
      <alignment horizontal="center" vertical="center"/>
    </xf>
    <xf numFmtId="9" fontId="15" fillId="0" borderId="0" xfId="0" applyNumberFormat="1" applyFont="1" applyAlignment="1">
      <alignment horizontal="center" vertical="center"/>
    </xf>
    <xf numFmtId="9" fontId="15" fillId="0" borderId="4" xfId="0" applyNumberFormat="1" applyFont="1" applyBorder="1" applyAlignment="1">
      <alignment horizontal="center" vertical="center"/>
    </xf>
    <xf numFmtId="167" fontId="5" fillId="0" borderId="4" xfId="0" applyNumberFormat="1" applyFont="1" applyBorder="1" applyAlignment="1">
      <alignment horizontal="center" vertical="center"/>
    </xf>
    <xf numFmtId="9" fontId="15" fillId="0" borderId="32" xfId="0" applyNumberFormat="1" applyFont="1" applyBorder="1" applyAlignment="1">
      <alignment horizontal="center" vertical="center"/>
    </xf>
    <xf numFmtId="0" fontId="15" fillId="0" borderId="40" xfId="0" applyFont="1" applyBorder="1" applyAlignment="1">
      <alignment horizontal="center" vertical="center"/>
    </xf>
    <xf numFmtId="164" fontId="15" fillId="0" borderId="0" xfId="0" applyNumberFormat="1" applyFont="1" applyAlignment="1">
      <alignment horizontal="center" vertical="center"/>
    </xf>
    <xf numFmtId="0" fontId="15" fillId="13" borderId="27" xfId="0" applyFont="1" applyFill="1" applyBorder="1" applyAlignment="1">
      <alignment horizontal="center" vertical="center"/>
    </xf>
    <xf numFmtId="0" fontId="15" fillId="13" borderId="38" xfId="0" applyFont="1" applyFill="1" applyBorder="1" applyAlignment="1">
      <alignment horizontal="center" vertical="center"/>
    </xf>
    <xf numFmtId="0" fontId="25" fillId="0" borderId="0" xfId="0" applyFont="1" applyAlignment="1">
      <alignment horizontal="center" vertical="center"/>
    </xf>
    <xf numFmtId="167" fontId="5" fillId="0" borderId="32" xfId="0" applyNumberFormat="1" applyFont="1" applyBorder="1" applyAlignment="1">
      <alignment horizontal="center" vertical="center"/>
    </xf>
    <xf numFmtId="168" fontId="5" fillId="0" borderId="4" xfId="0" applyNumberFormat="1" applyFont="1" applyBorder="1" applyAlignment="1">
      <alignment horizontal="center" vertical="center"/>
    </xf>
    <xf numFmtId="168" fontId="5" fillId="0" borderId="32" xfId="0" applyNumberFormat="1" applyFont="1" applyBorder="1" applyAlignment="1">
      <alignment horizontal="center" vertical="center"/>
    </xf>
    <xf numFmtId="164" fontId="21" fillId="0" borderId="41" xfId="0" applyNumberFormat="1" applyFont="1" applyBorder="1" applyAlignment="1">
      <alignment horizontal="center" vertical="center"/>
    </xf>
    <xf numFmtId="164" fontId="21" fillId="0" borderId="38" xfId="0" applyNumberFormat="1" applyFont="1" applyBorder="1" applyAlignment="1">
      <alignment horizontal="center" vertical="center"/>
    </xf>
    <xf numFmtId="22" fontId="29" fillId="0" borderId="9" xfId="0" applyNumberFormat="1" applyFont="1" applyBorder="1" applyAlignment="1">
      <alignment horizontal="left" vertical="center"/>
    </xf>
    <xf numFmtId="0" fontId="21" fillId="0" borderId="6" xfId="0" applyFont="1" applyBorder="1" applyAlignment="1">
      <alignment vertical="center"/>
    </xf>
    <xf numFmtId="0" fontId="21" fillId="0" borderId="7" xfId="0" applyFont="1" applyBorder="1" applyAlignment="1">
      <alignment vertical="center"/>
    </xf>
    <xf numFmtId="0" fontId="21" fillId="0" borderId="0" xfId="0" applyFont="1" applyAlignment="1">
      <alignment vertical="center"/>
    </xf>
    <xf numFmtId="22" fontId="29" fillId="0" borderId="0" xfId="0" applyNumberFormat="1" applyFont="1" applyAlignment="1">
      <alignment vertical="center"/>
    </xf>
    <xf numFmtId="0" fontId="21" fillId="0" borderId="11" xfId="0" applyFont="1" applyBorder="1" applyAlignment="1">
      <alignment vertical="center"/>
    </xf>
    <xf numFmtId="0" fontId="21" fillId="0" borderId="12" xfId="0" applyFont="1" applyBorder="1" applyAlignment="1">
      <alignment vertical="center"/>
    </xf>
    <xf numFmtId="0" fontId="21" fillId="0" borderId="27" xfId="0" applyFont="1" applyBorder="1" applyAlignment="1">
      <alignment horizontal="center" vertical="center"/>
    </xf>
    <xf numFmtId="14" fontId="21" fillId="0" borderId="27" xfId="0" applyNumberFormat="1" applyFont="1" applyBorder="1" applyAlignment="1">
      <alignment horizontal="center" vertical="center"/>
    </xf>
    <xf numFmtId="0" fontId="21" fillId="0" borderId="4" xfId="0" applyFont="1" applyBorder="1" applyAlignment="1">
      <alignment horizontal="center" vertical="center"/>
    </xf>
    <xf numFmtId="14" fontId="21" fillId="0" borderId="4" xfId="0" applyNumberFormat="1" applyFont="1" applyBorder="1" applyAlignment="1">
      <alignment horizontal="center" vertical="center"/>
    </xf>
    <xf numFmtId="0" fontId="32" fillId="0" borderId="0" xfId="0" applyFont="1" applyAlignment="1">
      <alignment horizontal="center" vertical="center"/>
    </xf>
    <xf numFmtId="0" fontId="31" fillId="7" borderId="1" xfId="0" applyFont="1" applyFill="1" applyBorder="1" applyAlignment="1">
      <alignment horizontal="left" vertical="center"/>
    </xf>
    <xf numFmtId="0" fontId="31" fillId="7" borderId="2" xfId="0" applyFont="1" applyFill="1" applyBorder="1" applyAlignment="1">
      <alignment horizontal="left" vertical="center"/>
    </xf>
    <xf numFmtId="0" fontId="33" fillId="7" borderId="2" xfId="0" applyFont="1" applyFill="1" applyBorder="1" applyAlignment="1">
      <alignment horizontal="center" vertical="center"/>
    </xf>
    <xf numFmtId="0" fontId="33" fillId="7" borderId="3" xfId="0" applyFont="1" applyFill="1" applyBorder="1" applyAlignment="1">
      <alignment horizontal="center" vertical="center"/>
    </xf>
    <xf numFmtId="0" fontId="32" fillId="0" borderId="32" xfId="0" applyFont="1" applyBorder="1" applyAlignment="1">
      <alignment horizontal="left" vertical="center"/>
    </xf>
    <xf numFmtId="0" fontId="32" fillId="0" borderId="32" xfId="0" applyFont="1" applyBorder="1" applyAlignment="1">
      <alignment horizontal="center" vertical="center"/>
    </xf>
    <xf numFmtId="9" fontId="32" fillId="0" borderId="32" xfId="1" applyFont="1" applyBorder="1" applyAlignment="1">
      <alignment horizontal="center" vertical="center"/>
    </xf>
    <xf numFmtId="2" fontId="32" fillId="0" borderId="32" xfId="1" applyNumberFormat="1"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horizontal="center" vertical="center"/>
    </xf>
    <xf numFmtId="0" fontId="15" fillId="0" borderId="0" xfId="0" applyFont="1" applyAlignment="1">
      <alignment horizontal="left" vertical="center"/>
    </xf>
    <xf numFmtId="0" fontId="8" fillId="7" borderId="1" xfId="0" applyFont="1" applyFill="1" applyBorder="1" applyAlignment="1">
      <alignment horizontal="left" vertical="center"/>
    </xf>
    <xf numFmtId="0" fontId="8" fillId="7" borderId="2" xfId="0" applyFont="1" applyFill="1" applyBorder="1" applyAlignment="1">
      <alignment horizontal="center" vertical="center"/>
    </xf>
    <xf numFmtId="0" fontId="25" fillId="7" borderId="2" xfId="0" applyFont="1" applyFill="1" applyBorder="1" applyAlignment="1">
      <alignment horizontal="center" vertical="center"/>
    </xf>
    <xf numFmtId="0" fontId="25" fillId="7" borderId="3" xfId="0" applyFont="1" applyFill="1" applyBorder="1" applyAlignment="1">
      <alignment horizontal="center" vertical="center"/>
    </xf>
    <xf numFmtId="0" fontId="15" fillId="0" borderId="4" xfId="0" applyFont="1" applyBorder="1" applyAlignment="1">
      <alignment horizontal="left" vertical="center"/>
    </xf>
    <xf numFmtId="0" fontId="15" fillId="0" borderId="4" xfId="0" applyFont="1" applyBorder="1" applyAlignment="1">
      <alignment horizontal="center" vertical="center"/>
    </xf>
    <xf numFmtId="2" fontId="15" fillId="0" borderId="4" xfId="0" applyNumberFormat="1" applyFont="1" applyBorder="1" applyAlignment="1">
      <alignment horizontal="center" vertical="center"/>
    </xf>
    <xf numFmtId="169" fontId="15" fillId="0" borderId="4" xfId="0" applyNumberFormat="1" applyFont="1" applyBorder="1" applyAlignment="1">
      <alignment horizontal="center" vertical="center"/>
    </xf>
    <xf numFmtId="9" fontId="17" fillId="11" borderId="21" xfId="1" applyFont="1" applyFill="1" applyBorder="1" applyAlignment="1">
      <alignment horizontal="center" vertical="center"/>
    </xf>
    <xf numFmtId="9" fontId="5" fillId="0" borderId="27" xfId="0" applyNumberFormat="1" applyFont="1" applyBorder="1" applyAlignment="1">
      <alignment horizontal="center" vertical="center"/>
    </xf>
    <xf numFmtId="0" fontId="6" fillId="17" borderId="31" xfId="0" applyFont="1" applyFill="1" applyBorder="1" applyAlignment="1">
      <alignment horizontal="center" vertical="center" readingOrder="2"/>
    </xf>
    <xf numFmtId="0" fontId="6" fillId="17" borderId="31" xfId="0" applyFont="1" applyFill="1" applyBorder="1" applyAlignment="1">
      <alignment horizontal="center" vertical="center" wrapText="1" readingOrder="2"/>
    </xf>
    <xf numFmtId="0" fontId="6" fillId="17" borderId="31" xfId="0" applyFont="1" applyFill="1" applyBorder="1" applyAlignment="1">
      <alignment horizontal="center" vertical="center" wrapText="1"/>
    </xf>
    <xf numFmtId="0" fontId="6" fillId="17" borderId="26" xfId="0" applyFont="1" applyFill="1" applyBorder="1" applyAlignment="1">
      <alignment horizontal="center" vertical="center" wrapText="1"/>
    </xf>
    <xf numFmtId="0" fontId="6" fillId="17" borderId="26" xfId="0" applyFont="1" applyFill="1" applyBorder="1" applyAlignment="1">
      <alignment horizontal="center" vertical="center" wrapText="1" readingOrder="2"/>
    </xf>
    <xf numFmtId="14" fontId="2" fillId="16" borderId="25" xfId="0" applyNumberFormat="1" applyFont="1" applyFill="1" applyBorder="1" applyAlignment="1">
      <alignment vertical="center" wrapText="1"/>
    </xf>
    <xf numFmtId="14" fontId="2" fillId="16" borderId="31" xfId="0" applyNumberFormat="1" applyFont="1" applyFill="1" applyBorder="1" applyAlignment="1">
      <alignment horizontal="center" vertical="center" wrapText="1"/>
    </xf>
    <xf numFmtId="0" fontId="21" fillId="0" borderId="42" xfId="0" applyFont="1" applyBorder="1" applyAlignment="1">
      <alignment vertical="center"/>
    </xf>
    <xf numFmtId="0" fontId="21" fillId="0" borderId="43" xfId="0" applyFont="1" applyBorder="1" applyAlignment="1">
      <alignment vertical="center"/>
    </xf>
    <xf numFmtId="0" fontId="31" fillId="10" borderId="44" xfId="0" applyFont="1" applyFill="1" applyBorder="1" applyAlignment="1">
      <alignment horizontal="center" vertical="center" wrapText="1"/>
    </xf>
    <xf numFmtId="0" fontId="31" fillId="10" borderId="45" xfId="0" applyFont="1" applyFill="1" applyBorder="1" applyAlignment="1">
      <alignment horizontal="center" vertical="center" wrapText="1"/>
    </xf>
    <xf numFmtId="0" fontId="31" fillId="10" borderId="46" xfId="0" applyFont="1" applyFill="1" applyBorder="1" applyAlignment="1">
      <alignment horizontal="center" vertical="center" wrapText="1"/>
    </xf>
    <xf numFmtId="0" fontId="31" fillId="10" borderId="48" xfId="0" applyFont="1" applyFill="1" applyBorder="1" applyAlignment="1">
      <alignment horizontal="center" vertical="center" wrapText="1"/>
    </xf>
    <xf numFmtId="0" fontId="30" fillId="10" borderId="47" xfId="0" applyFont="1" applyFill="1" applyBorder="1" applyAlignment="1">
      <alignment horizontal="center" vertical="center" wrapText="1"/>
    </xf>
    <xf numFmtId="9" fontId="21" fillId="0" borderId="27" xfId="0" applyNumberFormat="1" applyFont="1" applyBorder="1" applyAlignment="1">
      <alignment horizontal="center" vertical="center"/>
    </xf>
    <xf numFmtId="0" fontId="6" fillId="17" borderId="25" xfId="0" applyFont="1" applyFill="1" applyBorder="1" applyAlignment="1">
      <alignment horizontal="center" vertical="center" wrapText="1"/>
    </xf>
    <xf numFmtId="0" fontId="6" fillId="17" borderId="26" xfId="0" applyFont="1" applyFill="1" applyBorder="1" applyAlignment="1">
      <alignment horizontal="center" vertical="center" wrapText="1"/>
    </xf>
    <xf numFmtId="14" fontId="3" fillId="2" borderId="13" xfId="0" applyNumberFormat="1" applyFont="1" applyFill="1" applyBorder="1" applyAlignment="1">
      <alignment horizontal="center"/>
    </xf>
    <xf numFmtId="14" fontId="3" fillId="2" borderId="14" xfId="0" applyNumberFormat="1" applyFont="1" applyFill="1" applyBorder="1" applyAlignment="1">
      <alignment horizontal="center"/>
    </xf>
    <xf numFmtId="14" fontId="3" fillId="2" borderId="15" xfId="0" applyNumberFormat="1" applyFont="1" applyFill="1" applyBorder="1" applyAlignment="1">
      <alignment horizontal="center"/>
    </xf>
    <xf numFmtId="0" fontId="6" fillId="16" borderId="29" xfId="0" applyFont="1" applyFill="1" applyBorder="1" applyAlignment="1">
      <alignment horizontal="center" vertical="center" wrapText="1"/>
    </xf>
    <xf numFmtId="0" fontId="6" fillId="16" borderId="4" xfId="0" applyFont="1" applyFill="1" applyBorder="1" applyAlignment="1">
      <alignment horizontal="center" vertical="center" wrapText="1"/>
    </xf>
    <xf numFmtId="0" fontId="6" fillId="16" borderId="30" xfId="0" applyFont="1" applyFill="1" applyBorder="1" applyAlignment="1">
      <alignment horizontal="center" vertical="center" wrapText="1"/>
    </xf>
    <xf numFmtId="0" fontId="6" fillId="15" borderId="29" xfId="0" applyFont="1" applyFill="1" applyBorder="1" applyAlignment="1">
      <alignment horizontal="center" vertical="center" wrapText="1"/>
    </xf>
    <xf numFmtId="0" fontId="6" fillId="15" borderId="4" xfId="0" applyFont="1" applyFill="1" applyBorder="1" applyAlignment="1">
      <alignment horizontal="center" vertical="center" wrapText="1"/>
    </xf>
    <xf numFmtId="0" fontId="6" fillId="15" borderId="30" xfId="0" applyFont="1" applyFill="1" applyBorder="1" applyAlignment="1">
      <alignment horizontal="center" vertical="center" wrapText="1"/>
    </xf>
    <xf numFmtId="22" fontId="8" fillId="2" borderId="16" xfId="0" applyNumberFormat="1"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0" xfId="0" applyFont="1" applyFill="1" applyAlignment="1">
      <alignment horizontal="center" vertical="center" wrapText="1"/>
    </xf>
    <xf numFmtId="0" fontId="8" fillId="2" borderId="18"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6" fillId="15" borderId="27" xfId="0" applyFont="1" applyFill="1" applyBorder="1" applyAlignment="1">
      <alignment horizontal="center" vertical="center" wrapText="1"/>
    </xf>
    <xf numFmtId="0" fontId="6" fillId="15" borderId="28"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22" fontId="19" fillId="10" borderId="0" xfId="0" applyNumberFormat="1" applyFont="1" applyFill="1" applyAlignment="1">
      <alignment horizontal="center" vertical="center"/>
    </xf>
    <xf numFmtId="165" fontId="16" fillId="11" borderId="37" xfId="0" applyNumberFormat="1" applyFont="1" applyFill="1" applyBorder="1" applyAlignment="1">
      <alignment horizontal="center" vertical="center" wrapText="1"/>
    </xf>
    <xf numFmtId="165" fontId="16" fillId="11" borderId="10" xfId="0" applyNumberFormat="1" applyFont="1" applyFill="1" applyBorder="1" applyAlignment="1">
      <alignment horizontal="center" vertical="center" wrapText="1"/>
    </xf>
    <xf numFmtId="0" fontId="19" fillId="10" borderId="0" xfId="0" applyFont="1" applyFill="1" applyAlignment="1">
      <alignment horizontal="center" vertical="center"/>
    </xf>
    <xf numFmtId="0" fontId="21" fillId="0" borderId="5" xfId="0" applyFont="1" applyBorder="1" applyAlignment="1">
      <alignment horizontal="center" vertical="center"/>
    </xf>
    <xf numFmtId="0" fontId="21" fillId="0" borderId="7" xfId="0" applyFont="1" applyBorder="1" applyAlignment="1">
      <alignment horizontal="center" vertical="center"/>
    </xf>
    <xf numFmtId="0" fontId="21" fillId="0" borderId="8" xfId="0" applyFont="1" applyBorder="1" applyAlignment="1">
      <alignment horizontal="center" vertical="center"/>
    </xf>
    <xf numFmtId="0" fontId="21" fillId="0" borderId="9" xfId="0" applyFont="1" applyBorder="1" applyAlignment="1">
      <alignment horizontal="center" vertical="center"/>
    </xf>
    <xf numFmtId="0" fontId="21" fillId="0" borderId="10" xfId="0" applyFont="1" applyBorder="1" applyAlignment="1">
      <alignment horizontal="center" vertical="center"/>
    </xf>
    <xf numFmtId="0" fontId="21" fillId="0" borderId="12" xfId="0" applyFont="1" applyBorder="1" applyAlignment="1">
      <alignment horizontal="center" vertical="center"/>
    </xf>
    <xf numFmtId="165" fontId="16" fillId="11" borderId="37" xfId="0" applyNumberFormat="1" applyFont="1" applyFill="1" applyBorder="1" applyAlignment="1">
      <alignment horizontal="center" vertical="center"/>
    </xf>
    <xf numFmtId="165" fontId="16" fillId="11" borderId="35" xfId="0" applyNumberFormat="1" applyFont="1" applyFill="1" applyBorder="1" applyAlignment="1">
      <alignment horizontal="center" vertical="center"/>
    </xf>
    <xf numFmtId="0" fontId="21" fillId="0" borderId="6" xfId="0" applyFont="1" applyBorder="1" applyAlignment="1">
      <alignment horizontal="center" vertical="center"/>
    </xf>
    <xf numFmtId="0" fontId="21" fillId="0" borderId="0" xfId="0" applyFont="1" applyAlignment="1">
      <alignment horizontal="center" vertical="center"/>
    </xf>
    <xf numFmtId="0" fontId="21" fillId="0" borderId="11" xfId="0" applyFont="1" applyBorder="1" applyAlignment="1">
      <alignment horizontal="center" vertical="center"/>
    </xf>
    <xf numFmtId="0" fontId="32" fillId="0" borderId="5" xfId="0" applyFont="1" applyBorder="1" applyAlignment="1">
      <alignment horizontal="center" vertical="center"/>
    </xf>
    <xf numFmtId="0" fontId="32" fillId="0" borderId="6" xfId="0" applyFont="1" applyBorder="1" applyAlignment="1">
      <alignment horizontal="center" vertical="center"/>
    </xf>
    <xf numFmtId="0" fontId="32" fillId="0" borderId="7" xfId="0" applyFont="1" applyBorder="1" applyAlignment="1">
      <alignment horizontal="center" vertical="center"/>
    </xf>
    <xf numFmtId="0" fontId="32" fillId="0" borderId="8" xfId="0" applyFont="1" applyBorder="1" applyAlignment="1">
      <alignment horizontal="center" vertical="center"/>
    </xf>
    <xf numFmtId="0" fontId="32" fillId="0" borderId="0" xfId="0" applyFont="1" applyAlignment="1">
      <alignment horizontal="center" vertical="center"/>
    </xf>
    <xf numFmtId="0" fontId="32" fillId="0" borderId="9" xfId="0" applyFont="1" applyBorder="1" applyAlignment="1">
      <alignment horizontal="center" vertical="center"/>
    </xf>
    <xf numFmtId="0" fontId="32" fillId="0" borderId="10" xfId="0" applyFont="1" applyBorder="1" applyAlignment="1">
      <alignment horizontal="center" vertical="center"/>
    </xf>
    <xf numFmtId="0" fontId="32" fillId="0" borderId="11" xfId="0" applyFont="1" applyBorder="1" applyAlignment="1">
      <alignment horizontal="center" vertical="center"/>
    </xf>
    <xf numFmtId="0" fontId="32" fillId="0" borderId="12" xfId="0" applyFont="1" applyBorder="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8" xfId="0" applyFont="1" applyBorder="1" applyAlignment="1">
      <alignment horizontal="center" vertical="center"/>
    </xf>
    <xf numFmtId="0" fontId="15" fillId="0" borderId="0" xfId="0" applyFont="1" applyAlignment="1">
      <alignment horizontal="center" vertic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20" fillId="10" borderId="0" xfId="0" applyFont="1" applyFill="1" applyAlignment="1" applyProtection="1">
      <alignment horizontal="center" vertical="center" wrapText="1"/>
    </xf>
    <xf numFmtId="0" fontId="20" fillId="10" borderId="0" xfId="0" applyFont="1" applyFill="1" applyAlignment="1" applyProtection="1">
      <alignment horizontal="center" vertical="center"/>
    </xf>
    <xf numFmtId="0" fontId="20" fillId="10" borderId="9" xfId="0" applyFont="1" applyFill="1" applyBorder="1" applyAlignment="1" applyProtection="1">
      <alignment horizontal="center" vertical="center"/>
    </xf>
    <xf numFmtId="0" fontId="20" fillId="10" borderId="11" xfId="0" applyFont="1" applyFill="1" applyBorder="1" applyAlignment="1" applyProtection="1">
      <alignment horizontal="center" vertical="center"/>
    </xf>
    <xf numFmtId="0" fontId="20" fillId="10" borderId="12" xfId="0" applyFont="1" applyFill="1" applyBorder="1" applyAlignment="1" applyProtection="1">
      <alignment horizontal="center" vertical="center"/>
    </xf>
    <xf numFmtId="0" fontId="20" fillId="10" borderId="8" xfId="0" applyFont="1" applyFill="1" applyBorder="1" applyAlignment="1" applyProtection="1">
      <alignment horizontal="center" vertical="center" wrapText="1"/>
    </xf>
    <xf numFmtId="0" fontId="20" fillId="10" borderId="8" xfId="0" applyFont="1" applyFill="1" applyBorder="1" applyAlignment="1" applyProtection="1">
      <alignment horizontal="center" vertical="center"/>
    </xf>
    <xf numFmtId="0" fontId="20" fillId="10" borderId="10" xfId="0" applyFont="1" applyFill="1" applyBorder="1" applyAlignment="1" applyProtection="1">
      <alignment horizontal="center" vertical="center"/>
    </xf>
    <xf numFmtId="0" fontId="4" fillId="0" borderId="0" xfId="0" applyFont="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0" fontId="0" fillId="0" borderId="0" xfId="0" applyProtection="1">
      <protection locked="0"/>
    </xf>
    <xf numFmtId="0" fontId="3" fillId="7" borderId="0" xfId="0" applyFont="1" applyFill="1" applyAlignment="1" applyProtection="1">
      <alignment horizontal="center" vertical="center"/>
      <protection locked="0"/>
    </xf>
    <xf numFmtId="0" fontId="0" fillId="0" borderId="39" xfId="0" pivotButton="1" applyBorder="1" applyProtection="1">
      <protection locked="0"/>
    </xf>
    <xf numFmtId="0" fontId="0" fillId="0" borderId="39" xfId="0" applyBorder="1" applyProtection="1">
      <protection locked="0"/>
    </xf>
    <xf numFmtId="0" fontId="0" fillId="0" borderId="9" xfId="0" applyBorder="1" applyProtection="1">
      <protection locked="0"/>
    </xf>
    <xf numFmtId="0" fontId="0" fillId="0" borderId="13" xfId="0" applyBorder="1" applyAlignment="1" applyProtection="1">
      <alignment horizontal="left"/>
      <protection locked="0"/>
    </xf>
    <xf numFmtId="10" fontId="0" fillId="0" borderId="13" xfId="0" applyNumberFormat="1" applyBorder="1" applyProtection="1">
      <protection locked="0"/>
    </xf>
    <xf numFmtId="0" fontId="3" fillId="7" borderId="8" xfId="0" applyFont="1" applyFill="1" applyBorder="1" applyAlignment="1" applyProtection="1">
      <alignment horizontal="center" vertical="center"/>
      <protection locked="0"/>
    </xf>
    <xf numFmtId="0" fontId="0" fillId="0" borderId="14" xfId="0" applyBorder="1" applyAlignment="1" applyProtection="1">
      <alignment horizontal="left"/>
      <protection locked="0"/>
    </xf>
    <xf numFmtId="10" fontId="0" fillId="0" borderId="14" xfId="0" applyNumberFormat="1" applyBorder="1" applyProtection="1">
      <protection locked="0"/>
    </xf>
    <xf numFmtId="0" fontId="0" fillId="0" borderId="1" xfId="0" pivotButton="1" applyBorder="1" applyProtection="1">
      <protection locked="0"/>
    </xf>
    <xf numFmtId="0" fontId="0" fillId="0" borderId="5" xfId="0" pivotButton="1" applyBorder="1" applyProtection="1">
      <protection locked="0"/>
    </xf>
    <xf numFmtId="0" fontId="0" fillId="0" borderId="1" xfId="0" applyBorder="1" applyProtection="1">
      <protection locked="0"/>
    </xf>
    <xf numFmtId="0" fontId="0" fillId="0" borderId="3" xfId="0" applyBorder="1" applyProtection="1">
      <protection locked="0"/>
    </xf>
    <xf numFmtId="0" fontId="0" fillId="0" borderId="15" xfId="0" applyBorder="1" applyAlignment="1" applyProtection="1">
      <alignment horizontal="left"/>
      <protection locked="0"/>
    </xf>
    <xf numFmtId="0" fontId="0" fillId="0" borderId="8" xfId="0" applyBorder="1" applyAlignment="1" applyProtection="1">
      <alignment horizontal="left"/>
      <protection locked="0"/>
    </xf>
    <xf numFmtId="9" fontId="0" fillId="0" borderId="13" xfId="0" applyNumberFormat="1" applyBorder="1" applyProtection="1">
      <protection locked="0"/>
    </xf>
    <xf numFmtId="0" fontId="0" fillId="0" borderId="13" xfId="0" applyBorder="1" applyProtection="1">
      <protection locked="0"/>
    </xf>
    <xf numFmtId="164" fontId="0" fillId="0" borderId="13" xfId="0" applyNumberFormat="1" applyBorder="1" applyProtection="1">
      <protection locked="0"/>
    </xf>
    <xf numFmtId="164" fontId="0" fillId="0" borderId="5" xfId="0" applyNumberFormat="1" applyBorder="1" applyProtection="1">
      <protection locked="0"/>
    </xf>
    <xf numFmtId="164" fontId="0" fillId="0" borderId="7" xfId="0" applyNumberFormat="1" applyBorder="1" applyProtection="1">
      <protection locked="0"/>
    </xf>
    <xf numFmtId="0" fontId="0" fillId="0" borderId="39" xfId="0" applyBorder="1" applyAlignment="1" applyProtection="1">
      <alignment horizontal="left"/>
      <protection locked="0"/>
    </xf>
    <xf numFmtId="10" fontId="0" fillId="0" borderId="15" xfId="0" applyNumberFormat="1" applyBorder="1" applyProtection="1">
      <protection locked="0"/>
    </xf>
    <xf numFmtId="9" fontId="0" fillId="0" borderId="14" xfId="0" applyNumberFormat="1" applyBorder="1" applyProtection="1">
      <protection locked="0"/>
    </xf>
    <xf numFmtId="0" fontId="0" fillId="0" borderId="14" xfId="0" applyBorder="1" applyProtection="1">
      <protection locked="0"/>
    </xf>
    <xf numFmtId="164" fontId="0" fillId="0" borderId="14" xfId="0" applyNumberFormat="1" applyBorder="1" applyProtection="1">
      <protection locked="0"/>
    </xf>
    <xf numFmtId="164" fontId="0" fillId="0" borderId="8" xfId="0" applyNumberFormat="1" applyBorder="1" applyProtection="1">
      <protection locked="0"/>
    </xf>
    <xf numFmtId="164" fontId="0" fillId="0" borderId="9" xfId="0" applyNumberFormat="1" applyBorder="1" applyProtection="1">
      <protection locked="0"/>
    </xf>
    <xf numFmtId="0" fontId="0" fillId="0" borderId="10" xfId="0" applyBorder="1" applyAlignment="1" applyProtection="1">
      <alignment horizontal="left"/>
      <protection locked="0"/>
    </xf>
    <xf numFmtId="0" fontId="0" fillId="0" borderId="15" xfId="0" applyBorder="1" applyProtection="1">
      <protection locked="0"/>
    </xf>
    <xf numFmtId="9" fontId="0" fillId="0" borderId="15" xfId="0" applyNumberFormat="1" applyBorder="1" applyProtection="1">
      <protection locked="0"/>
    </xf>
    <xf numFmtId="0" fontId="0" fillId="0" borderId="8" xfId="0" applyBorder="1" applyProtection="1">
      <protection locked="0"/>
    </xf>
    <xf numFmtId="164" fontId="0" fillId="0" borderId="15" xfId="0" applyNumberFormat="1" applyBorder="1" applyProtection="1">
      <protection locked="0"/>
    </xf>
    <xf numFmtId="164" fontId="0" fillId="0" borderId="10" xfId="0" applyNumberFormat="1" applyBorder="1" applyProtection="1">
      <protection locked="0"/>
    </xf>
    <xf numFmtId="164" fontId="0" fillId="0" borderId="12" xfId="0" applyNumberFormat="1" applyBorder="1" applyProtection="1">
      <protection locked="0"/>
    </xf>
    <xf numFmtId="0" fontId="0" fillId="0" borderId="24" xfId="0" applyBorder="1" applyProtection="1">
      <protection locked="0"/>
    </xf>
    <xf numFmtId="0" fontId="12" fillId="8" borderId="24" xfId="0" applyFont="1" applyFill="1" applyBorder="1" applyAlignment="1" applyProtection="1">
      <alignment horizontal="center" vertical="center"/>
      <protection locked="0"/>
    </xf>
    <xf numFmtId="0" fontId="3" fillId="7" borderId="27" xfId="0" applyFont="1" applyFill="1" applyBorder="1" applyAlignment="1" applyProtection="1">
      <alignment horizontal="center" vertical="center"/>
      <protection locked="0"/>
    </xf>
    <xf numFmtId="14" fontId="4" fillId="0" borderId="0" xfId="0" applyNumberFormat="1" applyFont="1" applyAlignment="1" applyProtection="1">
      <alignment horizontal="center" vertical="center"/>
      <protection locked="0"/>
    </xf>
    <xf numFmtId="2" fontId="0" fillId="0" borderId="0" xfId="0" applyNumberFormat="1" applyProtection="1">
      <protection locked="0"/>
    </xf>
    <xf numFmtId="0" fontId="26" fillId="14" borderId="24" xfId="0" applyFont="1" applyFill="1" applyBorder="1" applyAlignment="1" applyProtection="1">
      <alignment horizontal="center" vertical="center"/>
      <protection locked="0"/>
    </xf>
    <xf numFmtId="0" fontId="7" fillId="14" borderId="24" xfId="0" applyFont="1"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9" xfId="0"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0" fillId="0" borderId="10" xfId="0" applyBorder="1" applyProtection="1">
      <protection locked="0"/>
    </xf>
    <xf numFmtId="0" fontId="0" fillId="0" borderId="11" xfId="0" applyBorder="1" applyProtection="1">
      <protection locked="0"/>
    </xf>
    <xf numFmtId="0" fontId="0" fillId="0" borderId="11"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4" fillId="0" borderId="8" xfId="0" applyFont="1" applyBorder="1" applyAlignment="1" applyProtection="1">
      <alignment horizontal="center" vertical="center"/>
    </xf>
    <xf numFmtId="9" fontId="4" fillId="0" borderId="0" xfId="1" applyFont="1" applyBorder="1" applyAlignment="1" applyProtection="1">
      <alignment horizontal="center" vertical="center"/>
    </xf>
    <xf numFmtId="0" fontId="4" fillId="0" borderId="0" xfId="0" applyFont="1" applyAlignment="1" applyProtection="1">
      <alignment horizontal="center" vertical="center"/>
    </xf>
    <xf numFmtId="164" fontId="23" fillId="0" borderId="8" xfId="0" applyNumberFormat="1" applyFont="1" applyBorder="1" applyAlignment="1" applyProtection="1">
      <alignment horizontal="center" vertical="center"/>
    </xf>
    <xf numFmtId="164" fontId="24" fillId="0" borderId="0" xfId="0" applyNumberFormat="1" applyFont="1" applyAlignment="1" applyProtection="1">
      <alignment horizontal="center" vertical="center"/>
    </xf>
    <xf numFmtId="164" fontId="23" fillId="0" borderId="0" xfId="0" applyNumberFormat="1" applyFont="1" applyAlignment="1" applyProtection="1">
      <alignment horizontal="center" vertical="center"/>
    </xf>
    <xf numFmtId="164" fontId="27" fillId="0" borderId="0" xfId="0" applyNumberFormat="1" applyFont="1" applyAlignment="1" applyProtection="1">
      <alignment horizontal="center" vertical="center"/>
    </xf>
    <xf numFmtId="164" fontId="28" fillId="0" borderId="0" xfId="0" applyNumberFormat="1" applyFont="1" applyAlignment="1" applyProtection="1">
      <alignment horizontal="center" vertical="center"/>
    </xf>
    <xf numFmtId="0" fontId="4" fillId="0" borderId="6" xfId="0" applyFont="1" applyBorder="1" applyAlignment="1" applyProtection="1">
      <alignment horizontal="center" vertical="center"/>
    </xf>
    <xf numFmtId="0" fontId="12" fillId="0" borderId="6" xfId="0" applyFont="1" applyBorder="1" applyAlignment="1" applyProtection="1">
      <alignment horizontal="center" vertical="center"/>
    </xf>
    <xf numFmtId="0" fontId="12" fillId="0" borderId="5" xfId="0" applyFont="1" applyBorder="1" applyAlignment="1" applyProtection="1">
      <alignment horizontal="center" vertical="center"/>
    </xf>
    <xf numFmtId="0" fontId="12" fillId="0" borderId="5" xfId="0" applyFont="1" applyBorder="1" applyAlignment="1" applyProtection="1">
      <alignment horizontal="left" vertical="center"/>
    </xf>
    <xf numFmtId="0" fontId="0" fillId="0" borderId="24" xfId="0" applyBorder="1" applyAlignment="1" applyProtection="1">
      <alignment horizontal="center" vertical="center"/>
    </xf>
    <xf numFmtId="0" fontId="34" fillId="0" borderId="4" xfId="0" applyFont="1" applyBorder="1" applyProtection="1"/>
    <xf numFmtId="0" fontId="34" fillId="0" borderId="4" xfId="0" applyFont="1" applyBorder="1" applyAlignment="1" applyProtection="1">
      <alignment horizontal="center" vertical="center"/>
    </xf>
    <xf numFmtId="0" fontId="0" fillId="0" borderId="24" xfId="0" applyBorder="1" applyProtection="1"/>
    <xf numFmtId="0" fontId="0" fillId="0" borderId="24" xfId="1" applyNumberFormat="1" applyFont="1" applyBorder="1" applyProtection="1"/>
    <xf numFmtId="2" fontId="0" fillId="0" borderId="24" xfId="0" applyNumberFormat="1" applyBorder="1" applyProtection="1"/>
    <xf numFmtId="0" fontId="4" fillId="0" borderId="24" xfId="0" applyFont="1" applyBorder="1" applyAlignment="1" applyProtection="1">
      <alignment horizontal="center" vertical="center"/>
    </xf>
    <xf numFmtId="2" fontId="32" fillId="0" borderId="4" xfId="0" applyNumberFormat="1" applyFont="1" applyBorder="1" applyAlignment="1">
      <alignment horizontal="center" vertical="center"/>
    </xf>
  </cellXfs>
  <cellStyles count="2">
    <cellStyle name="Normal" xfId="0" builtinId="0"/>
    <cellStyle name="Percent" xfId="1" builtinId="5"/>
  </cellStyles>
  <dxfs count="450">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fill>
        <patternFill>
          <bgColor rgb="FF37CBFF"/>
        </patternFill>
      </fill>
    </dxf>
    <dxf>
      <font>
        <color theme="0"/>
      </font>
      <fill>
        <patternFill>
          <bgColor rgb="FFFF0000"/>
        </patternFill>
      </fill>
    </dxf>
    <dxf>
      <font>
        <color theme="0"/>
      </font>
      <fill>
        <patternFill>
          <bgColor theme="5" tint="-0.499984740745262"/>
        </patternFill>
      </fill>
    </dxf>
    <dxf>
      <font>
        <b/>
        <i val="0"/>
        <color theme="0"/>
      </font>
      <fill>
        <patternFill>
          <bgColor theme="9" tint="-0.24994659260841701"/>
        </patternFill>
      </fill>
    </dxf>
    <dxf>
      <fill>
        <patternFill>
          <bgColor rgb="FF37CBFF"/>
        </patternFill>
      </fill>
    </dxf>
    <dxf>
      <font>
        <color theme="0"/>
      </font>
      <fill>
        <patternFill>
          <bgColor rgb="FFFF0000"/>
        </patternFill>
      </fill>
    </dxf>
    <dxf>
      <font>
        <color theme="0"/>
      </font>
      <fill>
        <patternFill>
          <bgColor theme="5" tint="-0.499984740745262"/>
        </patternFill>
      </fill>
    </dxf>
    <dxf>
      <font>
        <b/>
        <i val="0"/>
        <color theme="0"/>
      </font>
      <fill>
        <patternFill>
          <bgColor theme="9" tint="-0.24994659260841701"/>
        </patternFill>
      </fill>
    </dxf>
    <dxf>
      <fill>
        <patternFill>
          <bgColor rgb="FF28985D"/>
        </patternFill>
      </fill>
    </dxf>
    <dxf>
      <fill>
        <patternFill>
          <bgColor rgb="FFE2A104"/>
        </patternFill>
      </fill>
    </dxf>
    <dxf>
      <font>
        <b/>
        <i val="0"/>
        <color theme="0"/>
      </font>
      <fill>
        <patternFill>
          <bgColor rgb="FFB91C1C"/>
        </patternFill>
      </fill>
    </dxf>
    <dxf>
      <fill>
        <patternFill>
          <bgColor theme="6"/>
        </patternFill>
      </fill>
    </dxf>
    <dxf>
      <fill>
        <patternFill>
          <bgColor rgb="FFF7D763"/>
        </patternFill>
      </fill>
    </dxf>
    <dxf>
      <fill>
        <patternFill>
          <bgColor theme="5"/>
        </patternFill>
      </fill>
    </dxf>
    <dxf>
      <fill>
        <patternFill>
          <bgColor rgb="FF37CBFF"/>
        </patternFill>
      </fill>
    </dxf>
    <dxf>
      <font>
        <color theme="0"/>
      </font>
      <fill>
        <patternFill>
          <bgColor rgb="FFFF0000"/>
        </patternFill>
      </fill>
    </dxf>
    <dxf>
      <font>
        <color theme="0"/>
      </font>
      <fill>
        <patternFill>
          <bgColor theme="5" tint="-0.499984740745262"/>
        </patternFill>
      </fill>
    </dxf>
    <dxf>
      <font>
        <b/>
        <i val="0"/>
        <color theme="0"/>
      </font>
      <fill>
        <patternFill>
          <bgColor theme="9" tint="-0.24994659260841701"/>
        </patternFill>
      </fill>
    </dxf>
    <dxf>
      <fill>
        <patternFill patternType="darkGray">
          <fgColor rgb="FF7EDC38"/>
        </patternFill>
      </fill>
    </dxf>
    <dxf>
      <font>
        <b/>
        <i val="0"/>
        <color theme="0"/>
      </font>
      <fill>
        <patternFill patternType="solid">
          <fgColor theme="5"/>
          <bgColor rgb="FFC00000"/>
        </patternFill>
      </fill>
    </dxf>
    <dxf>
      <fill>
        <patternFill patternType="darkGray">
          <fgColor rgb="FFFFCC66"/>
        </patternFill>
      </fill>
    </dxf>
    <dxf>
      <fill>
        <patternFill patternType="darkGray">
          <fgColor rgb="FF7EDC38"/>
        </patternFill>
      </fill>
    </dxf>
    <dxf>
      <fill>
        <patternFill patternType="solid">
          <fgColor theme="5"/>
          <bgColor rgb="FFF84A4A"/>
        </patternFill>
      </fill>
    </dxf>
    <dxf>
      <fill>
        <patternFill patternType="darkGray">
          <fgColor rgb="FFFFCC66"/>
        </patternFill>
      </fill>
    </dxf>
    <dxf>
      <fill>
        <patternFill patternType="darkGray">
          <fgColor theme="5"/>
          <bgColor rgb="FFFF0000"/>
        </patternFill>
      </fill>
    </dxf>
    <dxf>
      <fill>
        <patternFill patternType="darkGray">
          <fgColor theme="9" tint="0.39994506668294322"/>
          <bgColor rgb="FFFFC000"/>
        </patternFill>
      </fill>
    </dxf>
    <dxf>
      <fill>
        <patternFill patternType="darkGray">
          <fgColor rgb="FF92D050"/>
          <bgColor rgb="FF92D05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val="0"/>
        <i val="0"/>
        <strike val="0"/>
        <condense val="0"/>
        <extend val="0"/>
        <outline val="0"/>
        <shadow val="0"/>
        <u val="none"/>
        <vertAlign val="baseline"/>
        <sz val="14"/>
        <color theme="1"/>
        <name val="Georgia Pro"/>
        <family val="1"/>
        <scheme val="none"/>
      </font>
      <alignment horizontal="center"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4"/>
        <color theme="1"/>
        <name val="Georgia Pro"/>
        <family val="1"/>
        <scheme val="none"/>
      </font>
      <numFmt numFmtId="164" formatCode="[$SAR]\ #,##0_);[Red]\([$SAR]\ #,##0\)"/>
      <alignment horizontal="center"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4"/>
        <color theme="1"/>
        <name val="Georgia Pro"/>
        <family val="1"/>
        <scheme val="none"/>
      </font>
      <numFmt numFmtId="164" formatCode="[$SAR]\ #,##0_);[Red]\([$SAR]\ #,##0\)"/>
      <alignment horizontal="center"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4"/>
        <color theme="1"/>
        <name val="Georgia Pro"/>
        <family val="1"/>
        <scheme val="none"/>
      </font>
      <numFmt numFmtId="164" formatCode="[$SAR]\ #,##0_);[Red]\([$SAR]\ #,##0\)"/>
      <alignment horizontal="center"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4"/>
        <color theme="1"/>
        <name val="Georgia Pro"/>
        <family val="1"/>
        <scheme val="none"/>
      </font>
      <fill>
        <patternFill patternType="solid">
          <fgColor indexed="64"/>
          <bgColor theme="4" tint="0.79998168889431442"/>
        </patternFill>
      </fill>
      <alignment horizontal="center"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4"/>
        <color theme="1"/>
        <name val="Georgia Pro"/>
        <family val="1"/>
        <scheme val="none"/>
      </font>
      <fill>
        <patternFill patternType="solid">
          <fgColor indexed="64"/>
          <bgColor theme="4" tint="0.79998168889431442"/>
        </patternFill>
      </fill>
      <alignment horizontal="center"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4"/>
        <color theme="1"/>
        <name val="Georgia Pro"/>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Georgia Pro"/>
        <family val="1"/>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4"/>
        <color theme="1"/>
        <name val="Georgia Pro"/>
        <family val="1"/>
        <scheme val="none"/>
      </font>
      <numFmt numFmtId="13" formatCode="0%"/>
      <alignment horizontal="center"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4"/>
        <color theme="1"/>
        <name val="Georgia Pro"/>
        <family val="1"/>
        <scheme val="none"/>
      </font>
      <alignment horizontal="center"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4"/>
        <color theme="1"/>
        <name val="Georgia Pro"/>
        <family val="1"/>
        <scheme val="none"/>
      </font>
      <alignment horizontal="center"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4"/>
        <color theme="1"/>
        <name val="Georgia Pro"/>
        <family val="1"/>
        <scheme val="none"/>
      </font>
      <alignment horizontal="center"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4"/>
        <color theme="1"/>
        <name val="Georgia Pro"/>
        <family val="1"/>
        <scheme val="none"/>
      </font>
      <alignment horizontal="center"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4"/>
        <color theme="1"/>
        <name val="Georgia Pro"/>
        <family val="1"/>
        <scheme val="none"/>
      </font>
      <alignment horizontal="center" vertical="center" textRotation="0" wrapText="0" indent="0" justifyLastLine="0" shrinkToFit="0" readingOrder="0"/>
    </dxf>
    <dxf>
      <font>
        <b/>
        <i val="0"/>
        <strike val="0"/>
        <condense val="0"/>
        <extend val="0"/>
        <outline val="0"/>
        <shadow val="0"/>
        <u val="none"/>
        <vertAlign val="baseline"/>
        <sz val="16"/>
        <color theme="0" tint="-0.14999847407452621"/>
        <name val="Georgia Pro"/>
        <family val="1"/>
        <scheme val="none"/>
      </font>
      <fill>
        <patternFill patternType="solid">
          <fgColor indexed="64"/>
          <bgColor theme="3" tint="-0.249977111117893"/>
        </patternFill>
      </fill>
      <alignment horizontal="center" vertical="center" textRotation="0" wrapText="1" indent="0" justifyLastLine="0" shrinkToFit="0" readingOrder="0"/>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3" formatCode="0%"/>
    </dxf>
    <dxf>
      <numFmt numFmtId="13" formatCode="0%"/>
    </dxf>
    <dxf>
      <numFmt numFmtId="13" formatCode="0%"/>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Georgia Pro"/>
        <family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theme="1"/>
        <name val="Georgia Pro"/>
        <family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theme="1"/>
        <name val="Georgia Pro"/>
        <family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theme="1"/>
        <name val="Georgia Pro"/>
        <family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theme="1"/>
        <name val="Georgia Pro"/>
        <family val="1"/>
        <scheme val="none"/>
      </font>
      <numFmt numFmtId="13" formatCode="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theme="1"/>
        <name val="Georgia Pro"/>
        <family val="1"/>
        <scheme val="none"/>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theme="1"/>
        <name val="Georgia Pro"/>
        <family val="1"/>
        <scheme val="none"/>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theme="1"/>
        <name val="Georgia Pro"/>
        <family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theme="1"/>
        <name val="Georgia Pro"/>
        <family val="1"/>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numFmt numFmtId="167" formatCode="yyyy"/>
      <alignment horizontal="center"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1"/>
        <color theme="1"/>
        <name val="Georgia Pro"/>
        <family val="1"/>
        <scheme val="none"/>
      </font>
      <numFmt numFmtId="19" formatCode="m/d/yyyy"/>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numFmt numFmtId="19" formatCode="m/d/yyyy"/>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theme="1"/>
        <name val="Georgia Pro"/>
        <family val="1"/>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left>
        <right/>
        <top style="thin">
          <color indexed="64"/>
        </top>
        <bottom/>
        <vertical/>
        <horizontal/>
      </border>
    </dxf>
    <dxf>
      <font>
        <b val="0"/>
        <i val="0"/>
        <strike val="0"/>
        <condense val="0"/>
        <extend val="0"/>
        <outline val="0"/>
        <shadow val="0"/>
        <u val="none"/>
        <vertAlign val="baseline"/>
        <sz val="11"/>
        <color theme="1"/>
        <name val="Georgia Pro"/>
        <family val="1"/>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left>
        <right/>
        <top style="thin">
          <color indexed="64"/>
        </top>
        <bottom/>
        <vertical/>
        <horizontal/>
      </border>
    </dxf>
    <dxf>
      <font>
        <b val="0"/>
        <i val="0"/>
        <strike val="0"/>
        <condense val="0"/>
        <extend val="0"/>
        <outline val="0"/>
        <shadow val="0"/>
        <u val="none"/>
        <vertAlign val="baseline"/>
        <sz val="11"/>
        <color theme="1"/>
        <name val="Georgia Pro"/>
        <family val="1"/>
        <scheme val="none"/>
      </font>
      <numFmt numFmtId="164" formatCode="[$SAR]\ #,##0_);[Red]\([$SAR]\ #,##0\)"/>
      <fill>
        <patternFill patternType="none">
          <fgColor indexed="64"/>
          <bgColor indexed="65"/>
        </patternFill>
      </fill>
      <alignment horizontal="center" vertical="center" textRotation="0" wrapText="1" indent="0" justifyLastLine="0" shrinkToFit="0" readingOrder="0"/>
      <border diagonalUp="0" diagonalDown="0">
        <left style="thin">
          <color theme="0"/>
        </left>
        <right/>
        <top style="thin">
          <color indexed="64"/>
        </top>
        <bottom/>
        <vertical/>
        <horizontal/>
      </border>
    </dxf>
    <dxf>
      <font>
        <b val="0"/>
        <i val="0"/>
        <strike val="0"/>
        <condense val="0"/>
        <extend val="0"/>
        <outline val="0"/>
        <shadow val="0"/>
        <u val="none"/>
        <vertAlign val="baseline"/>
        <sz val="11"/>
        <color theme="1"/>
        <name val="Georgia Pro"/>
        <family val="1"/>
        <scheme val="none"/>
      </font>
      <numFmt numFmtId="164" formatCode="[$SAR]\ #,##0_);[Red]\([$SAR]\ #,##0\)"/>
      <fill>
        <patternFill patternType="none">
          <fgColor indexed="64"/>
          <bgColor indexed="65"/>
        </patternFill>
      </fill>
      <alignment horizontal="center" vertical="center" textRotation="0" wrapText="0" indent="0" justifyLastLine="0" shrinkToFit="0" readingOrder="0"/>
      <border diagonalUp="0" diagonalDown="0">
        <left style="thin">
          <color theme="0"/>
        </left>
        <right/>
        <top style="thin">
          <color indexed="64"/>
        </top>
        <bottom/>
        <vertical/>
        <horizontal/>
      </border>
    </dxf>
    <dxf>
      <font>
        <b val="0"/>
        <i val="0"/>
        <strike val="0"/>
        <condense val="0"/>
        <extend val="0"/>
        <outline val="0"/>
        <shadow val="0"/>
        <u val="none"/>
        <vertAlign val="baseline"/>
        <sz val="11"/>
        <color theme="1"/>
        <name val="Georgia Pro"/>
        <family val="1"/>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left>
        <right/>
        <top style="thin">
          <color indexed="64"/>
        </top>
        <bottom/>
        <vertical/>
        <horizontal/>
      </border>
    </dxf>
    <dxf>
      <font>
        <b val="0"/>
        <i val="0"/>
        <strike val="0"/>
        <condense val="0"/>
        <extend val="0"/>
        <outline val="0"/>
        <shadow val="0"/>
        <u val="none"/>
        <vertAlign val="baseline"/>
        <sz val="11"/>
        <color theme="1"/>
        <name val="Georgia Pro"/>
        <family val="1"/>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left>
        <right/>
        <top style="thin">
          <color indexed="64"/>
        </top>
        <bottom/>
        <vertical/>
        <horizontal/>
      </border>
    </dxf>
    <dxf>
      <font>
        <b val="0"/>
        <i val="0"/>
        <strike val="0"/>
        <condense val="0"/>
        <extend val="0"/>
        <outline val="0"/>
        <shadow val="0"/>
        <u val="none"/>
        <vertAlign val="baseline"/>
        <sz val="11"/>
        <color theme="1"/>
        <name val="Georgia Pro"/>
        <family val="1"/>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vertical/>
        <horizontal/>
      </border>
    </dxf>
    <dxf>
      <border outline="0">
        <top style="thin">
          <color indexed="64"/>
        </top>
        <bottom style="thin">
          <color indexed="64"/>
        </bottom>
      </border>
    </dxf>
    <dxf>
      <font>
        <b val="0"/>
        <i val="0"/>
        <strike val="0"/>
        <condense val="0"/>
        <extend val="0"/>
        <outline val="0"/>
        <shadow val="0"/>
        <u val="none"/>
        <vertAlign val="baseline"/>
        <sz val="11"/>
        <color theme="1"/>
        <name val="Georgia Pro"/>
        <family val="1"/>
        <scheme val="none"/>
      </font>
      <fill>
        <patternFill patternType="solid">
          <fgColor theme="4" tint="0.79998168889431442"/>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2"/>
        <color theme="0"/>
        <name val="Georgia Pro"/>
        <family val="1"/>
        <scheme val="none"/>
      </font>
      <fill>
        <patternFill patternType="solid">
          <fgColor indexed="64"/>
          <bgColor theme="1"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i val="0"/>
        <sz val="12"/>
        <color theme="0" tint="-0.14993743705557422"/>
        <name val="Georgia"/>
        <family val="1"/>
      </font>
      <border diagonalUp="0" diagonalDown="0">
        <left/>
        <right/>
        <top/>
        <bottom/>
        <vertical/>
        <horizontal/>
      </border>
    </dxf>
    <dxf>
      <font>
        <b/>
        <i val="0"/>
        <sz val="14"/>
        <color theme="1"/>
      </font>
      <fill>
        <patternFill>
          <bgColor theme="1" tint="0.14996795556505021"/>
        </patternFill>
      </fill>
      <border diagonalUp="0" diagonalDown="0">
        <left/>
        <right/>
        <top/>
        <bottom/>
        <vertical/>
        <horizontal/>
      </border>
    </dxf>
    <dxf>
      <font>
        <b/>
        <i val="0"/>
        <sz val="14"/>
        <color theme="0"/>
      </font>
      <border diagonalUp="0" diagonalDown="0">
        <left/>
        <right/>
        <top/>
        <bottom/>
        <vertical/>
        <horizontal/>
      </border>
    </dxf>
    <dxf>
      <font>
        <b/>
        <i val="0"/>
        <color theme="0"/>
      </font>
      <fill>
        <patternFill patternType="solid">
          <fgColor indexed="64"/>
          <bgColor theme="1" tint="0.14996795556505021"/>
        </patternFill>
      </fill>
      <border diagonalUp="0" diagonalDown="0">
        <left/>
        <right/>
        <top/>
        <bottom/>
        <vertical/>
        <horizontal/>
      </border>
    </dxf>
    <dxf>
      <fill>
        <patternFill patternType="none">
          <bgColor auto="1"/>
        </patternFill>
      </fill>
    </dxf>
    <dxf>
      <fill>
        <patternFill>
          <bgColor rgb="FFD4AF37"/>
        </patternFill>
      </fill>
    </dxf>
    <dxf>
      <fill>
        <patternFill>
          <bgColor rgb="FF000000"/>
        </patternFill>
      </fill>
    </dxf>
    <dxf>
      <font>
        <color theme="0" tint="-0.24994659260841701"/>
      </font>
      <fill>
        <patternFill>
          <bgColor rgb="FFFFFFFF"/>
        </patternFill>
      </fill>
    </dxf>
    <dxf>
      <fill>
        <patternFill>
          <bgColor rgb="FF000000"/>
        </patternFill>
      </fill>
    </dxf>
  </dxfs>
  <tableStyles count="6" defaultTableStyle="TableStyleMedium2" defaultPivotStyle="PivotStyleLight16">
    <tableStyle name="Slicer Style 1" pivot="0" table="0" count="6" xr9:uid="{8BA90738-6425-4A1D-A221-D7BD22E6865E}">
      <tableStyleElement type="wholeTable" dxfId="449"/>
      <tableStyleElement type="headerRow" dxfId="448"/>
    </tableStyle>
    <tableStyle name="Slicer Style 2" pivot="0" table="0" count="10" xr9:uid="{E4A0672A-DC3E-4D71-A1D8-41A52DD35B84}">
      <tableStyleElement type="wholeTable" dxfId="447"/>
      <tableStyleElement type="headerRow" dxfId="446"/>
    </tableStyle>
    <tableStyle name="Slicer Style 3" pivot="0" table="0" count="1" xr9:uid="{FAB3CE11-F974-4BEC-9A9A-D007F16C6E51}">
      <tableStyleElement type="wholeTable" dxfId="445"/>
    </tableStyle>
    <tableStyle name="SlicerStyleLight1 2" pivot="0" table="0" count="10" xr9:uid="{79CECDB1-6FF0-4884-B8A5-E1F2B2551B9F}">
      <tableStyleElement type="wholeTable" dxfId="444"/>
      <tableStyleElement type="headerRow" dxfId="443"/>
    </tableStyle>
    <tableStyle name="SlicerStyleLight1 2 2 4" pivot="0" table="0" count="10" xr9:uid="{E59C2935-87F4-45BA-9F30-69AE28C0F880}">
      <tableStyleElement type="wholeTable" dxfId="442"/>
      <tableStyleElement type="headerRow" dxfId="441"/>
    </tableStyle>
    <tableStyle name="SlicerStyleLight1 2 2 4 3" pivot="0" table="0" count="10" xr9:uid="{D6ECD5FC-AF6F-4FFE-AC09-7DCDEFCB1320}">
      <tableStyleElement type="wholeTable" dxfId="440"/>
      <tableStyleElement type="headerRow" dxfId="439"/>
    </tableStyle>
  </tableStyles>
  <colors>
    <mruColors>
      <color rgb="FF4C57E0"/>
      <color rgb="FF9CA5F6"/>
      <color rgb="FF8701DA"/>
      <color rgb="FFFF00FF"/>
      <color rgb="FFE2A104"/>
      <color rgb="FFB91C1C"/>
      <color rgb="FFD2544A"/>
      <color rgb="FF37CBFF"/>
      <color rgb="FF00B7D2"/>
      <color rgb="FF0093CE"/>
    </mruColors>
  </colors>
  <extLst>
    <ext xmlns:x14="http://schemas.microsoft.com/office/spreadsheetml/2009/9/main" uri="{46F421CA-312F-682f-3DD2-61675219B42D}">
      <x14:dxfs count="3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rgb="FF393D97"/>
          </font>
          <fill>
            <patternFill patternType="solid">
              <fgColor auto="1"/>
              <bgColor rgb="FFE6E1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1"/>
            <color theme="0"/>
          </font>
          <fill>
            <patternFill patternType="solid">
              <fgColor auto="1"/>
              <bgColor rgb="FFB1AC49"/>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2D2D2D"/>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rgb="FFB1AC49"/>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tint="0.14996795556505021"/>
            </patternFill>
          </fill>
          <border diagonalUp="0" diagonalDown="0">
            <left/>
            <right/>
            <top/>
            <bottom/>
            <vertical/>
            <horizontal/>
          </border>
        </dxf>
        <dxf>
          <fill>
            <patternFill>
              <bgColor rgb="FFFFF0AD"/>
            </patternFill>
          </fill>
        </dxf>
        <dxf>
          <fill>
            <patternFill>
              <bgColor rgb="FF5C4033"/>
            </patternFill>
          </fill>
        </dxf>
        <dxf>
          <fill>
            <patternFill>
              <bgColor rgb="FFFFF0AD"/>
            </patternFill>
          </fill>
        </dxf>
        <dxf>
          <fill>
            <patternFill>
              <bgColor rgb="FF5C4033"/>
            </patternFill>
          </fill>
        </dxf>
        <dxf>
          <fill>
            <patternFill>
              <bgColor rgb="FFFFD700"/>
            </patternFill>
          </fill>
        </dxf>
        <dxf>
          <font>
            <color rgb="FF000000"/>
          </font>
          <fill>
            <patternFill>
              <bgColor rgb="FFFFD700"/>
            </patternFill>
          </fill>
        </dxf>
        <dxf>
          <fill>
            <patternFill>
              <bgColor rgb="FF262626"/>
            </patternFill>
          </fill>
        </dxf>
        <dxf>
          <font>
            <color theme="0"/>
          </font>
          <fill>
            <patternFill>
              <bgColor rgb="FF262626"/>
            </patternFill>
          </fill>
        </dxf>
        <dxf>
          <fill>
            <patternFill>
              <bgColor rgb="FFAFFFFF"/>
            </patternFill>
          </fill>
        </dxf>
        <dxf>
          <fill>
            <patternFill>
              <bgColor rgb="FF555555"/>
            </patternFill>
          </fill>
        </dxf>
        <dxf>
          <font>
            <color theme="0" tint="-0.24994659260841701"/>
          </font>
          <fill>
            <patternFill>
              <bgColor rgb="FF00FFFF"/>
            </patternFill>
          </fill>
        </dxf>
        <dxf>
          <fill>
            <patternFill>
              <bgColor rgb="FF33333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5"/>
            <x14:slicerStyleElement type="selectedItemWithData" dxfId="34"/>
            <x14:slicerStyleElement type="hoveredUnselectedItemWithData" dxfId="33"/>
            <x14:slicerStyleElement type="hoveredSelectedItemWithData" dxfId="32"/>
          </x14:slicerStyleElements>
        </x14:slicerStyle>
        <x14:slicerStyle name="Slicer Style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Style 3"/>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7/06/relationships/rdRichValue" Target="richData/rdrichvalue.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22/10/relationships/richValueRel" Target="richData/richValueRel.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3.xml"/><Relationship Id="rId22" Type="http://schemas.openxmlformats.org/officeDocument/2006/relationships/sheetMetadata" Target="metadata.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8411-4785-96D9-AD6695A53BB4}"/>
            </c:ext>
          </c:extLst>
        </c:ser>
        <c:dLbls>
          <c:showLegendKey val="0"/>
          <c:showVal val="0"/>
          <c:showCatName val="0"/>
          <c:showSerName val="0"/>
          <c:showPercent val="0"/>
          <c:showBubbleSize val="0"/>
        </c:dLbls>
        <c:gapWidth val="150"/>
        <c:overlap val="100"/>
        <c:axId val="820188208"/>
        <c:axId val="820187248"/>
      </c:barChart>
      <c:catAx>
        <c:axId val="8201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187248"/>
        <c:crosses val="autoZero"/>
        <c:auto val="1"/>
        <c:lblAlgn val="ctr"/>
        <c:lblOffset val="100"/>
        <c:noMultiLvlLbl val="0"/>
      </c:catAx>
      <c:valAx>
        <c:axId val="8201872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18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76307462997475"/>
          <c:y val="2.0317912943982393E-2"/>
          <c:w val="0.58460829451148177"/>
          <c:h val="0.7399307143170254"/>
        </c:manualLayout>
      </c:layout>
      <c:doughnutChart>
        <c:varyColors val="1"/>
        <c:dLbls>
          <c:showLegendKey val="0"/>
          <c:showVal val="1"/>
          <c:showCatName val="0"/>
          <c:showSerName val="0"/>
          <c:showPercent val="0"/>
          <c:showBubbleSize val="0"/>
          <c:showLeaderLines val="0"/>
        </c:dLbls>
        <c:firstSliceAng val="0"/>
        <c:holeSize val="45"/>
      </c:doughnutChart>
      <c:spPr>
        <a:noFill/>
        <a:ln w="25400">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0" vert="horz" anchor="ctr" anchorCtr="0"/>
    <a:lstStyle/>
    <a:p>
      <a:pPr>
        <a:defRPr>
          <a:ln>
            <a:noFill/>
          </a:ln>
          <a:solidFill>
            <a:schemeClr val="bg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1" i="0" u="none" strike="noStrike" kern="1200" baseline="0">
                <a:ln>
                  <a:noFill/>
                </a:ln>
                <a:solidFill>
                  <a:schemeClr val="bg1"/>
                </a:solidFill>
                <a:latin typeface="Georgia" panose="02040502050405020303" pitchFamily="18" charset="0"/>
                <a:ea typeface="+mn-ea"/>
                <a:cs typeface="+mn-cs"/>
              </a:defRPr>
            </a:pPr>
            <a:r>
              <a:rPr lang="en-US" sz="1400">
                <a:solidFill>
                  <a:schemeClr val="bg1"/>
                </a:solidFill>
                <a:latin typeface="Georgia" panose="02040502050405020303" pitchFamily="18" charset="0"/>
              </a:rPr>
              <a:t>DECISION BREAKDOWN</a:t>
            </a:r>
          </a:p>
        </c:rich>
      </c:tx>
      <c:layout>
        <c:manualLayout>
          <c:xMode val="edge"/>
          <c:yMode val="edge"/>
          <c:x val="0.28555555555555556"/>
          <c:y val="3.7664041994750659E-2"/>
        </c:manualLayout>
      </c:layout>
      <c:overlay val="0"/>
      <c:spPr>
        <a:noFill/>
        <a:ln>
          <a:noFill/>
        </a:ln>
        <a:effectLst/>
      </c:spPr>
      <c:txPr>
        <a:bodyPr rot="0" spcFirstLastPara="1" vertOverflow="ellipsis" vert="horz" wrap="square" anchor="ctr" anchorCtr="1"/>
        <a:lstStyle/>
        <a:p>
          <a:pPr algn="ctr">
            <a:defRPr sz="1400" b="1" i="0" u="none" strike="noStrike" kern="1200" baseline="0">
              <a:ln>
                <a:noFill/>
              </a:ln>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0"/>
                </a:prstClr>
              </a:outerShdw>
            </a:effectLst>
          </c:spPr>
          <c:txPr>
            <a:bodyPr rot="0" spcFirstLastPara="1" vertOverflow="ellipsis" vert="horz" wrap="square" anchor="ctr" anchorCtr="1"/>
            <a:lstStyle/>
            <a:p>
              <a:pPr>
                <a:defRPr sz="1400" b="1"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B050"/>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0"/>
                </a:prstClr>
              </a:outerShdw>
            </a:effectLst>
          </c:spPr>
          <c:txPr>
            <a:bodyPr rot="0" spcFirstLastPara="1" vertOverflow="clip" horzOverflow="clip" vert="horz" wrap="square" anchor="ctr" anchorCtr="1"/>
            <a:lstStyle/>
            <a:p>
              <a:pPr>
                <a:defRPr sz="1400" b="1"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462511154928646"/>
                  <c:h val="0.1599998983742788"/>
                </c:manualLayout>
              </c15:layout>
            </c:ext>
          </c:extLst>
        </c:dLbl>
      </c:pivotFmt>
      <c:pivotFmt>
        <c:idx val="7"/>
        <c:spPr>
          <a:solidFill>
            <a:schemeClr val="accent2">
              <a:lumMod val="75000"/>
            </a:schemeClr>
          </a:solidFill>
          <a:ln>
            <a:noFill/>
          </a:ln>
          <a:effectLst>
            <a:outerShdw blurRad="254000" sx="102000" sy="102000" algn="ctr" rotWithShape="0">
              <a:prstClr val="black">
                <a:alpha val="20000"/>
              </a:prstClr>
            </a:outerShdw>
          </a:effectLst>
        </c:spPr>
        <c:dLbl>
          <c:idx val="0"/>
          <c:layout>
            <c:manualLayout>
              <c:x val="-4.0858699564682165E-17"/>
              <c:y val="1.1111111111111009E-2"/>
            </c:manualLayout>
          </c:layout>
          <c:spPr>
            <a:noFill/>
            <a:ln>
              <a:noFill/>
            </a:ln>
            <a:effectLst>
              <a:outerShdw blurRad="50800" dist="38100" dir="2700000" algn="tl" rotWithShape="0">
                <a:prstClr val="black">
                  <a:alpha val="0"/>
                </a:prstClr>
              </a:outerShdw>
            </a:effectLst>
          </c:spPr>
          <c:txPr>
            <a:bodyPr rot="0" spcFirstLastPara="1" vertOverflow="ellipsis" vert="horz" wrap="square" anchor="ctr" anchorCtr="1"/>
            <a:lstStyle/>
            <a:p>
              <a:pPr>
                <a:defRPr sz="1400" b="1"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0"/>
                </a:prstClr>
              </a:outerShdw>
            </a:effectLst>
          </c:spPr>
          <c:txPr>
            <a:bodyPr rot="0" spcFirstLastPara="1" vertOverflow="clip" horzOverflow="clip" vert="horz" wrap="none" lIns="0" tIns="0" rIns="0" bIns="0" anchor="ctr" anchorCtr="1">
              <a:noAutofit/>
            </a:bodyPr>
            <a:lstStyle/>
            <a:p>
              <a:pPr>
                <a:defRPr sz="1200" b="1" i="0" u="none" strike="noStrike" kern="1200" baseline="0">
                  <a:ln>
                    <a:noFill/>
                  </a:ln>
                  <a:solidFill>
                    <a:schemeClr val="bg1"/>
                  </a:solidFill>
                  <a:effectLst>
                    <a:outerShdw blurRad="50800" dist="50800" dir="5400000" algn="ctr" rotWithShape="0">
                      <a:schemeClr val="bg1">
                        <a:alpha val="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rgbClr val="92D050"/>
          </a:solidFill>
          <a:ln>
            <a:noFill/>
          </a:ln>
          <a:effectLst>
            <a:outerShdw blurRad="254000" sx="102000" sy="102000" algn="ctr" rotWithShape="0">
              <a:prstClr val="black">
                <a:alpha val="20000"/>
              </a:prstClr>
            </a:outerShdw>
          </a:effectLst>
        </c:spPr>
        <c:dLbl>
          <c:idx val="0"/>
          <c:showLegendKey val="0"/>
          <c:showVal val="0"/>
          <c:showCatName val="0"/>
          <c:showSerName val="0"/>
          <c:showPercent val="1"/>
          <c:showBubbleSize val="0"/>
          <c:extLst>
            <c:ext xmlns:c15="http://schemas.microsoft.com/office/drawing/2012/chart" uri="{CE6537A1-D6FC-4f65-9D91-7224C49458BB}">
              <c15:layout>
                <c:manualLayout>
                  <c:w val="7.9025946239095923E-2"/>
                  <c:h val="7.0771426331514717E-2"/>
                </c:manualLayout>
              </c15:layout>
            </c:ext>
          </c:extLst>
        </c:dLbl>
      </c:pivotFmt>
      <c:pivotFmt>
        <c:idx val="11"/>
        <c:spPr>
          <a:solidFill>
            <a:srgbClr val="C00000"/>
          </a:solidFill>
          <a:ln>
            <a:noFill/>
          </a:ln>
          <a:effectLst>
            <a:outerShdw blurRad="254000" sx="102000" sy="102000" algn="ctr" rotWithShape="0">
              <a:prstClr val="black">
                <a:alpha val="20000"/>
              </a:prstClr>
            </a:outerShdw>
          </a:effectLst>
        </c:spPr>
        <c:dLbl>
          <c:idx val="0"/>
          <c:showLegendKey val="0"/>
          <c:showVal val="0"/>
          <c:showCatName val="0"/>
          <c:showSerName val="0"/>
          <c:showPercent val="1"/>
          <c:showBubbleSize val="0"/>
          <c:extLst>
            <c:ext xmlns:c15="http://schemas.microsoft.com/office/drawing/2012/chart" uri="{CE6537A1-D6FC-4f65-9D91-7224C49458BB}">
              <c15:layout>
                <c:manualLayout>
                  <c:w val="7.9025946239095923E-2"/>
                  <c:h val="7.0771426331514717E-2"/>
                </c:manualLayout>
              </c15:layout>
            </c:ext>
          </c:extLst>
        </c:dLbl>
      </c:pivotFmt>
      <c:pivotFmt>
        <c:idx val="12"/>
        <c:spPr>
          <a:solidFill>
            <a:schemeClr val="accent6">
              <a:lumMod val="75000"/>
            </a:schemeClr>
          </a:solidFill>
          <a:ln>
            <a:noFill/>
          </a:ln>
          <a:effectLst>
            <a:outerShdw blurRad="254000" sx="102000" sy="102000" algn="ctr" rotWithShape="0">
              <a:prstClr val="black">
                <a:alpha val="20000"/>
              </a:prstClr>
            </a:outerShdw>
          </a:effectLst>
        </c:spPr>
        <c:dLbl>
          <c:idx val="0"/>
          <c:showLegendKey val="0"/>
          <c:showVal val="0"/>
          <c:showCatName val="0"/>
          <c:showSerName val="0"/>
          <c:showPercent val="1"/>
          <c:showBubbleSize val="0"/>
          <c:extLst>
            <c:ext xmlns:c15="http://schemas.microsoft.com/office/drawing/2012/chart" uri="{CE6537A1-D6FC-4f65-9D91-7224C49458BB}">
              <c15:layout>
                <c:manualLayout>
                  <c:w val="6.1925535969170969E-2"/>
                  <c:h val="7.0771426331514717E-2"/>
                </c:manualLayout>
              </c15:layout>
            </c:ext>
          </c:extLst>
        </c:dLbl>
      </c:pivotFmt>
    </c:pivotFmts>
    <c:plotArea>
      <c:layout>
        <c:manualLayout>
          <c:layoutTarget val="inner"/>
          <c:xMode val="edge"/>
          <c:yMode val="edge"/>
          <c:x val="9.6368326078191416E-2"/>
          <c:y val="0.16684765723676759"/>
          <c:w val="0.57291345300832608"/>
          <c:h val="0.79060891228538821"/>
        </c:manualLayout>
      </c:layout>
      <c:doughnutChart>
        <c:varyColors val="1"/>
        <c:dLbls>
          <c:showLegendKey val="0"/>
          <c:showVal val="0"/>
          <c:showCatName val="0"/>
          <c:showSerName val="0"/>
          <c:showPercent val="1"/>
          <c:showBubbleSize val="0"/>
          <c:showLeaderLines val="0"/>
        </c:dLbls>
        <c:firstSliceAng val="0"/>
        <c:holeSize val="44"/>
      </c:doughnutChart>
      <c:spPr>
        <a:noFill/>
        <a:ln>
          <a:noFill/>
        </a:ln>
        <a:effectLst/>
      </c:spPr>
    </c:plotArea>
    <c:legend>
      <c:legendPos val="r"/>
      <c:layout>
        <c:manualLayout>
          <c:xMode val="edge"/>
          <c:yMode val="edge"/>
          <c:x val="0.76772236411633366"/>
          <c:y val="0.26063876121149476"/>
          <c:w val="0.19562424335195183"/>
          <c:h val="0.47783543021071367"/>
        </c:manualLayout>
      </c:layout>
      <c:overlay val="0"/>
      <c:spPr>
        <a:noFill/>
        <a:ln>
          <a:noFill/>
        </a:ln>
        <a:effectLst/>
      </c:spPr>
      <c:txPr>
        <a:bodyPr rot="0" spcFirstLastPara="1" vertOverflow="ellipsis" vert="horz" wrap="square" anchor="ctr" anchorCtr="1"/>
        <a:lstStyle/>
        <a:p>
          <a:pPr>
            <a:defRPr sz="1200" b="0" i="0" u="none" strike="noStrike" kern="1200" baseline="0">
              <a:ln>
                <a:noFill/>
              </a:ln>
              <a:solidFill>
                <a:schemeClr val="bg1"/>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dk1"/>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[Black_Go_NoGo_System_with_Predictor_14-04-2026 (version 2.0).xlsx]Data Processor!Win Probability by Client Type</c:name>
    <c:fmtId val="2"/>
  </c:pivotSource>
  <c:chart>
    <c:title>
      <c:tx>
        <c:rich>
          <a:bodyPr rot="0" spcFirstLastPara="1" vertOverflow="ellipsis" vert="horz" wrap="square" anchor="ctr" anchorCtr="1"/>
          <a:lstStyle/>
          <a:p>
            <a:pPr algn="ctr">
              <a:defRPr sz="1400" b="0" i="0" u="none" strike="noStrike" kern="1200" spc="0" baseline="0">
                <a:solidFill>
                  <a:schemeClr val="bg1"/>
                </a:solidFill>
                <a:latin typeface="Georgia" panose="02040502050405020303" pitchFamily="18" charset="0"/>
                <a:ea typeface="+mn-ea"/>
                <a:cs typeface="+mn-cs"/>
              </a:defRPr>
            </a:pPr>
            <a:r>
              <a:rPr lang="en-US" sz="1400" b="1">
                <a:solidFill>
                  <a:schemeClr val="bg1"/>
                </a:solidFill>
                <a:latin typeface="Georgia" panose="02040502050405020303" pitchFamily="18" charset="0"/>
              </a:rPr>
              <a:t>WIN PROBABILITY BY CLIENT TYPE</a:t>
            </a:r>
          </a:p>
        </c:rich>
      </c:tx>
      <c:layout>
        <c:manualLayout>
          <c:xMode val="edge"/>
          <c:yMode val="edge"/>
          <c:x val="0.1954788668657797"/>
          <c:y val="2.50124080796853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D6D6D"/>
          </a:solidFill>
          <a:ln>
            <a:noFill/>
          </a:ln>
          <a:effectLst>
            <a:glow>
              <a:schemeClr val="accent1">
                <a:alpha val="40000"/>
              </a:schemeClr>
            </a:glow>
            <a:innerShdw blurRad="63500" dist="50800" dir="5400000">
              <a:prstClr val="black">
                <a:alpha val="50000"/>
              </a:prstClr>
            </a:inn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glow>
              <a:schemeClr val="accent1">
                <a:alpha val="40000"/>
              </a:schemeClr>
            </a:glow>
            <a:innerShdw dist="50800" dir="5400000">
              <a:schemeClr val="accent3">
                <a:alpha val="0"/>
              </a:schemeClr>
            </a:innerShdw>
          </a:effectLst>
          <a:scene3d>
            <a:camera prst="orthographicFront"/>
            <a:lightRig rig="threePt" dir="t"/>
          </a:scene3d>
          <a:sp3d>
            <a:bevelT/>
          </a:sp3d>
        </c:spPr>
      </c:pivotFmt>
      <c:pivotFmt>
        <c:idx val="4"/>
        <c:spPr>
          <a:solidFill>
            <a:schemeClr val="tx2">
              <a:lumMod val="60000"/>
              <a:lumOff val="40000"/>
            </a:schemeClr>
          </a:solidFill>
          <a:ln>
            <a:noFill/>
          </a:ln>
          <a:effectLst>
            <a:glow>
              <a:schemeClr val="accent1">
                <a:alpha val="0"/>
              </a:schemeClr>
            </a:glow>
            <a:innerShdw blurRad="63500" dist="50800" dir="5400000">
              <a:prstClr val="black">
                <a:alpha val="0"/>
              </a:prstClr>
            </a:innerShdw>
          </a:effectLst>
          <a:scene3d>
            <a:camera prst="orthographicFront"/>
            <a:lightRig rig="threePt" dir="t"/>
          </a:scene3d>
          <a:sp3d>
            <a:bevelT/>
          </a:sp3d>
        </c:spPr>
      </c:pivotFmt>
      <c:pivotFmt>
        <c:idx val="5"/>
        <c:spPr>
          <a:solidFill>
            <a:schemeClr val="accent6"/>
          </a:solidFill>
          <a:ln>
            <a:noFill/>
          </a:ln>
          <a:effectLst>
            <a:glow>
              <a:schemeClr val="accent1">
                <a:alpha val="0"/>
              </a:schemeClr>
            </a:glow>
            <a:innerShdw blurRad="63500" dist="50800" dir="5400000">
              <a:prstClr val="black">
                <a:alpha val="0"/>
              </a:prstClr>
            </a:innerShdw>
          </a:effectLst>
          <a:scene3d>
            <a:camera prst="orthographicFront"/>
            <a:lightRig rig="threePt" dir="t"/>
          </a:scene3d>
          <a:sp3d>
            <a:bevelT/>
          </a:sp3d>
        </c:spPr>
      </c:pivotFmt>
      <c:pivotFmt>
        <c:idx val="6"/>
        <c:spPr>
          <a:solidFill>
            <a:srgbClr val="92D050"/>
          </a:solidFill>
          <a:ln>
            <a:noFill/>
          </a:ln>
          <a:effectLst>
            <a:glow>
              <a:schemeClr val="accent1">
                <a:alpha val="40000"/>
              </a:schemeClr>
            </a:glow>
            <a:innerShdw dist="50800" dir="5400000">
              <a:schemeClr val="accent3">
                <a:alpha val="0"/>
              </a:schemeClr>
            </a:innerShdw>
          </a:effectLst>
          <a:scene3d>
            <a:camera prst="orthographicFront"/>
            <a:lightRig rig="threePt" dir="t"/>
          </a:scene3d>
          <a:sp3d>
            <a:bevelT/>
          </a:sp3d>
        </c:spPr>
      </c:pivotFmt>
      <c:pivotFmt>
        <c:idx val="7"/>
        <c:spPr>
          <a:solidFill>
            <a:schemeClr val="accent6"/>
          </a:solidFill>
          <a:ln>
            <a:noFill/>
          </a:ln>
          <a:effectLst>
            <a:glow>
              <a:schemeClr val="accent1">
                <a:alpha val="40000"/>
              </a:schemeClr>
            </a:glow>
            <a:innerShdw blurRad="63500" dist="50800" dir="5400000">
              <a:prstClr val="black">
                <a:alpha val="50000"/>
              </a:prstClr>
            </a:innerShdw>
          </a:effectLst>
          <a:scene3d>
            <a:camera prst="orthographicFront"/>
            <a:lightRig rig="threePt" dir="t"/>
          </a:scene3d>
          <a:sp3d>
            <a:bevelT/>
          </a:sp3d>
        </c:spPr>
      </c:pivotFmt>
      <c:pivotFmt>
        <c:idx val="8"/>
        <c:spPr>
          <a:solidFill>
            <a:schemeClr val="accent5"/>
          </a:solidFill>
          <a:ln>
            <a:noFill/>
          </a:ln>
          <a:effectLst>
            <a:glow>
              <a:schemeClr val="accent1">
                <a:alpha val="40000"/>
              </a:schemeClr>
            </a:glow>
            <a:innerShdw blurRad="63500" dist="50800" dir="5400000">
              <a:prstClr val="black">
                <a:alpha val="50000"/>
              </a:prstClr>
            </a:innerShdw>
          </a:effectLst>
          <a:scene3d>
            <a:camera prst="orthographicFront"/>
            <a:lightRig rig="threePt" dir="t"/>
          </a:scene3d>
          <a:sp3d>
            <a:bevelT/>
          </a:sp3d>
        </c:spPr>
      </c:pivotFmt>
      <c:pivotFmt>
        <c:idx val="9"/>
        <c:spPr>
          <a:solidFill>
            <a:srgbClr val="92D050"/>
          </a:solidFill>
          <a:ln>
            <a:noFill/>
          </a:ln>
          <a:effectLst>
            <a:glow>
              <a:schemeClr val="accent1">
                <a:alpha val="40000"/>
              </a:schemeClr>
            </a:glow>
            <a:innerShdw blurRad="63500" dist="50800" dir="5400000">
              <a:prstClr val="black">
                <a:alpha val="50000"/>
              </a:prstClr>
            </a:innerShdw>
          </a:effectLst>
          <a:scene3d>
            <a:camera prst="orthographicFront"/>
            <a:lightRig rig="threePt" dir="t"/>
          </a:scene3d>
          <a:sp3d>
            <a:bevelT/>
          </a:sp3d>
        </c:spPr>
      </c:pivotFmt>
    </c:pivotFmts>
    <c:plotArea>
      <c:layout/>
      <c:barChart>
        <c:barDir val="col"/>
        <c:grouping val="clustered"/>
        <c:varyColors val="0"/>
        <c:ser>
          <c:idx val="0"/>
          <c:order val="0"/>
          <c:tx>
            <c:strRef>
              <c:f>'Data Processor'!$G$10</c:f>
              <c:strCache>
                <c:ptCount val="1"/>
                <c:pt idx="0">
                  <c:v>Total</c:v>
                </c:pt>
              </c:strCache>
            </c:strRef>
          </c:tx>
          <c:spPr>
            <a:solidFill>
              <a:srgbClr val="6D6D6D"/>
            </a:solidFill>
            <a:ln>
              <a:noFill/>
            </a:ln>
            <a:effectLst>
              <a:glow>
                <a:schemeClr val="accent1">
                  <a:alpha val="40000"/>
                </a:schemeClr>
              </a:glow>
              <a:innerShdw blurRad="63500" dist="50800" dir="5400000">
                <a:prstClr val="black">
                  <a:alpha val="50000"/>
                </a:prstClr>
              </a:innerShdw>
            </a:effectLst>
            <a:scene3d>
              <a:camera prst="orthographicFront"/>
              <a:lightRig rig="threePt" dir="t"/>
            </a:scene3d>
            <a:sp3d>
              <a:bevelT/>
            </a:sp3d>
          </c:spPr>
          <c:invertIfNegative val="0"/>
          <c:dPt>
            <c:idx val="0"/>
            <c:invertIfNegative val="0"/>
            <c:bubble3D val="0"/>
            <c:spPr>
              <a:solidFill>
                <a:srgbClr val="92D050"/>
              </a:solidFill>
              <a:ln>
                <a:noFill/>
              </a:ln>
              <a:effectLst>
                <a:glow>
                  <a:schemeClr val="accent1">
                    <a:alpha val="40000"/>
                  </a:schemeClr>
                </a:glow>
                <a:innerShdw blurRad="63500" dist="50800" dir="5400000">
                  <a:prstClr val="black">
                    <a:alpha val="50000"/>
                  </a:prstClr>
                </a:innerShdw>
              </a:effectLst>
              <a:scene3d>
                <a:camera prst="orthographicFront"/>
                <a:lightRig rig="threePt" dir="t"/>
              </a:scene3d>
              <a:sp3d>
                <a:bevelT/>
              </a:sp3d>
            </c:spPr>
            <c:extLst>
              <c:ext xmlns:c16="http://schemas.microsoft.com/office/drawing/2014/chart" uri="{C3380CC4-5D6E-409C-BE32-E72D297353CC}">
                <c16:uniqueId val="{00000009-3D25-4473-B706-C3024E68E1F0}"/>
              </c:ext>
            </c:extLst>
          </c:dPt>
          <c:dPt>
            <c:idx val="1"/>
            <c:invertIfNegative val="0"/>
            <c:bubble3D val="0"/>
            <c:spPr>
              <a:solidFill>
                <a:schemeClr val="accent5"/>
              </a:solidFill>
              <a:ln>
                <a:noFill/>
              </a:ln>
              <a:effectLst>
                <a:glow>
                  <a:schemeClr val="accent1">
                    <a:alpha val="40000"/>
                  </a:schemeClr>
                </a:glow>
                <a:innerShdw blurRad="63500" dist="50800" dir="5400000">
                  <a:prstClr val="black">
                    <a:alpha val="50000"/>
                  </a:prstClr>
                </a:innerShdw>
              </a:effectLst>
              <a:scene3d>
                <a:camera prst="orthographicFront"/>
                <a:lightRig rig="threePt" dir="t"/>
              </a:scene3d>
              <a:sp3d>
                <a:bevelT/>
              </a:sp3d>
            </c:spPr>
            <c:extLst>
              <c:ext xmlns:c16="http://schemas.microsoft.com/office/drawing/2014/chart" uri="{C3380CC4-5D6E-409C-BE32-E72D297353CC}">
                <c16:uniqueId val="{0000000A-3D25-4473-B706-C3024E68E1F0}"/>
              </c:ext>
            </c:extLst>
          </c:dPt>
          <c:dPt>
            <c:idx val="2"/>
            <c:invertIfNegative val="0"/>
            <c:bubble3D val="0"/>
            <c:spPr>
              <a:solidFill>
                <a:schemeClr val="accent6"/>
              </a:solidFill>
              <a:ln>
                <a:noFill/>
              </a:ln>
              <a:effectLst>
                <a:glow>
                  <a:schemeClr val="accent1">
                    <a:alpha val="40000"/>
                  </a:schemeClr>
                </a:glow>
                <a:innerShdw blurRad="63500" dist="50800" dir="5400000">
                  <a:prstClr val="black">
                    <a:alpha val="50000"/>
                  </a:prstClr>
                </a:innerShdw>
              </a:effectLst>
              <a:scene3d>
                <a:camera prst="orthographicFront"/>
                <a:lightRig rig="threePt" dir="t"/>
              </a:scene3d>
              <a:sp3d>
                <a:bevelT/>
              </a:sp3d>
            </c:spPr>
            <c:extLst>
              <c:ext xmlns:c16="http://schemas.microsoft.com/office/drawing/2014/chart" uri="{C3380CC4-5D6E-409C-BE32-E72D297353CC}">
                <c16:uniqueId val="{0000000B-3D25-4473-B706-C3024E68E1F0}"/>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Processor'!$F$11:$F$14</c:f>
              <c:strCache>
                <c:ptCount val="3"/>
                <c:pt idx="0">
                  <c:v>Gov</c:v>
                </c:pt>
                <c:pt idx="1">
                  <c:v>Private</c:v>
                </c:pt>
                <c:pt idx="2">
                  <c:v>Semi</c:v>
                </c:pt>
              </c:strCache>
            </c:strRef>
          </c:cat>
          <c:val>
            <c:numRef>
              <c:f>'Data Processor'!$G$11:$G$14</c:f>
              <c:numCache>
                <c:formatCode>0%</c:formatCode>
                <c:ptCount val="3"/>
                <c:pt idx="0">
                  <c:v>0.44849999999999995</c:v>
                </c:pt>
                <c:pt idx="1">
                  <c:v>0.42375000000000002</c:v>
                </c:pt>
                <c:pt idx="2">
                  <c:v>0.32749999999999996</c:v>
                </c:pt>
              </c:numCache>
            </c:numRef>
          </c:val>
          <c:extLst>
            <c:ext xmlns:c16="http://schemas.microsoft.com/office/drawing/2014/chart" uri="{C3380CC4-5D6E-409C-BE32-E72D297353CC}">
              <c16:uniqueId val="{00000000-3D25-4473-B706-C3024E68E1F0}"/>
            </c:ext>
          </c:extLst>
        </c:ser>
        <c:dLbls>
          <c:dLblPos val="outEnd"/>
          <c:showLegendKey val="0"/>
          <c:showVal val="1"/>
          <c:showCatName val="0"/>
          <c:showSerName val="0"/>
          <c:showPercent val="0"/>
          <c:showBubbleSize val="0"/>
        </c:dLbls>
        <c:gapWidth val="200"/>
        <c:overlap val="-20"/>
        <c:axId val="1893534528"/>
        <c:axId val="1893546528"/>
      </c:barChart>
      <c:catAx>
        <c:axId val="189353452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US"/>
          </a:p>
        </c:txPr>
        <c:crossAx val="1893546528"/>
        <c:crosses val="autoZero"/>
        <c:auto val="1"/>
        <c:lblAlgn val="ctr"/>
        <c:lblOffset val="100"/>
        <c:noMultiLvlLbl val="0"/>
      </c:catAx>
      <c:valAx>
        <c:axId val="1893546528"/>
        <c:scaling>
          <c:orientation val="minMax"/>
        </c:scaling>
        <c:delete val="0"/>
        <c:axPos val="l"/>
        <c:majorGridlines>
          <c:spPr>
            <a:ln w="9525" cap="flat" cmpd="sng" algn="ctr">
              <a:solidFill>
                <a:schemeClr val="tx1">
                  <a:lumMod val="75000"/>
                  <a:lumOff val="2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89353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[Black_Go_NoGo_System_with_Predictor_14-04-2026 (version 2.0).xlsx]Data Processor!Count of Projects 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noFill/>
          </a:ln>
          <a:effectLst/>
        </c:spPr>
      </c:pivotFmt>
      <c:pivotFmt>
        <c:idx val="2"/>
        <c:spPr>
          <a:solidFill>
            <a:schemeClr val="accent6"/>
          </a:solidFill>
          <a:ln w="19050">
            <a:noFill/>
          </a:ln>
          <a:effectLst/>
        </c:spPr>
      </c:pivotFmt>
      <c:pivotFmt>
        <c:idx val="3"/>
        <c:spPr>
          <a:solidFill>
            <a:schemeClr val="accent1"/>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6"/>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a:glow>
              <a:schemeClr val="accent1">
                <a:alpha val="40000"/>
              </a:schemeClr>
            </a:glow>
            <a:outerShdw sx="1000" sy="1000" algn="ctr" rotWithShape="0">
              <a:schemeClr val="bg1"/>
            </a:outerShdw>
            <a:softEdge rad="0"/>
          </a:effectLst>
          <a:scene3d>
            <a:camera prst="orthographicFront"/>
            <a:lightRig rig="freezing" dir="t"/>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a:glow>
              <a:schemeClr val="accent1">
                <a:alpha val="40000"/>
              </a:schemeClr>
            </a:glow>
            <a:outerShdw sx="1000" sy="1000" algn="ctr" rotWithShape="0">
              <a:schemeClr val="bg1"/>
            </a:outerShdw>
            <a:softEdge rad="0"/>
          </a:effectLst>
          <a:scene3d>
            <a:camera prst="orthographicFront"/>
            <a:lightRig rig="freezing" dir="t"/>
          </a:scene3d>
        </c:spPr>
      </c:pivotFmt>
      <c:pivotFmt>
        <c:idx val="10"/>
        <c:spPr>
          <a:solidFill>
            <a:srgbClr val="FF6600"/>
          </a:solidFill>
          <a:ln w="19050">
            <a:noFill/>
          </a:ln>
          <a:effectLst>
            <a:glow>
              <a:schemeClr val="accent1">
                <a:alpha val="40000"/>
              </a:schemeClr>
            </a:glow>
            <a:outerShdw sx="1000" sy="1000" algn="ctr" rotWithShape="0">
              <a:schemeClr val="bg1"/>
            </a:outerShdw>
            <a:softEdge rad="0"/>
          </a:effectLst>
          <a:scene3d>
            <a:camera prst="orthographicFront"/>
            <a:lightRig rig="freezing" dir="t"/>
          </a:scene3d>
        </c:spPr>
      </c:pivotFmt>
      <c:pivotFmt>
        <c:idx val="11"/>
        <c:spPr>
          <a:solidFill>
            <a:schemeClr val="accent3">
              <a:lumMod val="75000"/>
            </a:schemeClr>
          </a:solidFill>
          <a:ln w="19050">
            <a:noFill/>
          </a:ln>
          <a:effectLst>
            <a:glow>
              <a:schemeClr val="accent1">
                <a:alpha val="40000"/>
              </a:schemeClr>
            </a:glow>
            <a:outerShdw sx="1000" sy="1000" algn="ctr" rotWithShape="0">
              <a:schemeClr val="bg1"/>
            </a:outerShdw>
            <a:softEdge rad="0"/>
          </a:effectLst>
          <a:scene3d>
            <a:camera prst="orthographicFront"/>
            <a:lightRig rig="freezing" dir="t"/>
          </a:scene3d>
        </c:spPr>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5289852816784701"/>
          <c:y val="9.3320799328429016E-2"/>
          <c:w val="0.46313670166229221"/>
          <c:h val="0.68173750159772595"/>
        </c:manualLayout>
      </c:layout>
      <c:doughnutChart>
        <c:varyColors val="1"/>
        <c:ser>
          <c:idx val="0"/>
          <c:order val="0"/>
          <c:tx>
            <c:strRef>
              <c:f>'Data Processor'!$G$17</c:f>
              <c:strCache>
                <c:ptCount val="1"/>
                <c:pt idx="0">
                  <c:v>Total</c:v>
                </c:pt>
              </c:strCache>
            </c:strRef>
          </c:tx>
          <c:spPr>
            <a:ln>
              <a:noFill/>
            </a:ln>
            <a:effectLst>
              <a:glow>
                <a:schemeClr val="accent1">
                  <a:alpha val="40000"/>
                </a:schemeClr>
              </a:glow>
              <a:outerShdw sx="1000" sy="1000" algn="ctr" rotWithShape="0">
                <a:schemeClr val="bg1"/>
              </a:outerShdw>
              <a:softEdge rad="0"/>
            </a:effectLst>
            <a:scene3d>
              <a:camera prst="orthographicFront"/>
              <a:lightRig rig="freezing" dir="t"/>
            </a:scene3d>
          </c:spPr>
          <c:dPt>
            <c:idx val="0"/>
            <c:bubble3D val="0"/>
            <c:spPr>
              <a:solidFill>
                <a:schemeClr val="accent1"/>
              </a:solidFill>
              <a:ln w="19050">
                <a:noFill/>
              </a:ln>
              <a:effectLst>
                <a:glow>
                  <a:schemeClr val="accent1">
                    <a:alpha val="40000"/>
                  </a:schemeClr>
                </a:glow>
                <a:outerShdw sx="1000" sy="1000" algn="ctr" rotWithShape="0">
                  <a:schemeClr val="bg1"/>
                </a:outerShdw>
                <a:softEdge rad="0"/>
              </a:effectLst>
              <a:scene3d>
                <a:camera prst="orthographicFront"/>
                <a:lightRig rig="freezing" dir="t"/>
              </a:scene3d>
            </c:spPr>
            <c:extLst>
              <c:ext xmlns:c16="http://schemas.microsoft.com/office/drawing/2014/chart" uri="{C3380CC4-5D6E-409C-BE32-E72D297353CC}">
                <c16:uniqueId val="{00000001-AE32-45E0-B99F-8D2A6DB0ADBE}"/>
              </c:ext>
            </c:extLst>
          </c:dPt>
          <c:dPt>
            <c:idx val="1"/>
            <c:bubble3D val="0"/>
            <c:spPr>
              <a:solidFill>
                <a:srgbClr val="FF6600"/>
              </a:solidFill>
              <a:ln w="19050">
                <a:noFill/>
              </a:ln>
              <a:effectLst>
                <a:glow>
                  <a:schemeClr val="accent1">
                    <a:alpha val="40000"/>
                  </a:schemeClr>
                </a:glow>
                <a:outerShdw sx="1000" sy="1000" algn="ctr" rotWithShape="0">
                  <a:schemeClr val="bg1"/>
                </a:outerShdw>
                <a:softEdge rad="0"/>
              </a:effectLst>
              <a:scene3d>
                <a:camera prst="orthographicFront"/>
                <a:lightRig rig="freezing" dir="t"/>
              </a:scene3d>
            </c:spPr>
            <c:extLst>
              <c:ext xmlns:c16="http://schemas.microsoft.com/office/drawing/2014/chart" uri="{C3380CC4-5D6E-409C-BE32-E72D297353CC}">
                <c16:uniqueId val="{00000003-AE32-45E0-B99F-8D2A6DB0ADBE}"/>
              </c:ext>
            </c:extLst>
          </c:dPt>
          <c:dPt>
            <c:idx val="2"/>
            <c:bubble3D val="0"/>
            <c:spPr>
              <a:solidFill>
                <a:schemeClr val="accent3">
                  <a:lumMod val="75000"/>
                </a:schemeClr>
              </a:solidFill>
              <a:ln w="19050">
                <a:noFill/>
              </a:ln>
              <a:effectLst>
                <a:glow>
                  <a:schemeClr val="accent1">
                    <a:alpha val="40000"/>
                  </a:schemeClr>
                </a:glow>
                <a:outerShdw sx="1000" sy="1000" algn="ctr" rotWithShape="0">
                  <a:schemeClr val="bg1"/>
                </a:outerShdw>
                <a:softEdge rad="0"/>
              </a:effectLst>
              <a:scene3d>
                <a:camera prst="orthographicFront"/>
                <a:lightRig rig="freezing" dir="t"/>
              </a:scene3d>
            </c:spPr>
            <c:extLst>
              <c:ext xmlns:c16="http://schemas.microsoft.com/office/drawing/2014/chart" uri="{C3380CC4-5D6E-409C-BE32-E72D297353CC}">
                <c16:uniqueId val="{00000005-AE32-45E0-B99F-8D2A6DB0ADB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'Data Processor'!$F$18:$F$21</c:f>
              <c:strCache>
                <c:ptCount val="3"/>
                <c:pt idx="0">
                  <c:v>Building</c:v>
                </c:pt>
                <c:pt idx="1">
                  <c:v>Industrial</c:v>
                </c:pt>
                <c:pt idx="2">
                  <c:v>Infrastructure</c:v>
                </c:pt>
              </c:strCache>
            </c:strRef>
          </c:cat>
          <c:val>
            <c:numRef>
              <c:f>'Data Processor'!$G$18:$G$21</c:f>
              <c:numCache>
                <c:formatCode>0.00%</c:formatCode>
                <c:ptCount val="3"/>
                <c:pt idx="0">
                  <c:v>0.36363636363636365</c:v>
                </c:pt>
                <c:pt idx="1">
                  <c:v>0.27272727272727271</c:v>
                </c:pt>
                <c:pt idx="2">
                  <c:v>0.36363636363636365</c:v>
                </c:pt>
              </c:numCache>
            </c:numRef>
          </c:val>
          <c:extLst>
            <c:ext xmlns:c16="http://schemas.microsoft.com/office/drawing/2014/chart" uri="{C3380CC4-5D6E-409C-BE32-E72D297353CC}">
              <c16:uniqueId val="{00000006-AE32-45E0-B99F-8D2A6DB0ADBE}"/>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1.8749999999999999E-2"/>
          <c:y val="0.11391584676898767"/>
          <c:w val="0.24544436449298188"/>
          <c:h val="0.3113889768018243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[Black_Go_NoGo_System_with_Predictor_14-04-2026 (version 2.0).xlsx]Data Processor!Risk Assessment</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latin typeface="Georgia" panose="02040502050405020303" pitchFamily="18" charset="0"/>
              </a:rPr>
              <a:t>RISK</a:t>
            </a:r>
            <a:r>
              <a:rPr lang="en-US" b="1" baseline="0">
                <a:solidFill>
                  <a:schemeClr val="bg1"/>
                </a:solidFill>
                <a:latin typeface="Georgia" panose="02040502050405020303" pitchFamily="18" charset="0"/>
              </a:rPr>
              <a:t> ASSESSMENT</a:t>
            </a:r>
            <a:endParaRPr lang="en-US" b="1">
              <a:solidFill>
                <a:schemeClr val="bg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a:schemeClr val="tx2"/>
            </a:glow>
          </a:effectLst>
          <a:scene3d>
            <a:camera prst="orthographicFront"/>
            <a:lightRig rig="threePt" dir="t">
              <a:rot lat="0" lon="0" rev="10800000"/>
            </a:lightRig>
          </a:scene3d>
          <a:sp3d>
            <a:bevelT w="127000" h="381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glow>
              <a:schemeClr val="tx2"/>
            </a:glow>
          </a:effectLst>
          <a:scene3d>
            <a:camera prst="orthographicFront"/>
            <a:lightRig rig="threePt" dir="t">
              <a:rot lat="0" lon="0" rev="10800000"/>
            </a:lightRig>
          </a:scene3d>
          <a:sp3d>
            <a:bevelT w="127000" h="38100"/>
          </a:sp3d>
        </c:spPr>
      </c:pivotFmt>
      <c:pivotFmt>
        <c:idx val="4"/>
        <c:spPr>
          <a:solidFill>
            <a:schemeClr val="accent3">
              <a:lumMod val="75000"/>
            </a:schemeClr>
          </a:solidFill>
          <a:ln>
            <a:noFill/>
          </a:ln>
          <a:effectLst>
            <a:glow>
              <a:schemeClr val="tx2"/>
            </a:glow>
          </a:effectLst>
          <a:scene3d>
            <a:camera prst="orthographicFront"/>
            <a:lightRig rig="threePt" dir="t">
              <a:rot lat="0" lon="0" rev="10800000"/>
            </a:lightRig>
          </a:scene3d>
          <a:sp3d>
            <a:bevelT w="127000" h="38100"/>
          </a:sp3d>
        </c:spPr>
      </c:pivotFmt>
      <c:pivotFmt>
        <c:idx val="5"/>
        <c:spPr>
          <a:solidFill>
            <a:schemeClr val="accent6"/>
          </a:solidFill>
          <a:ln>
            <a:noFill/>
          </a:ln>
          <a:effectLst>
            <a:glow>
              <a:schemeClr val="tx2"/>
            </a:glow>
          </a:effectLst>
          <a:scene3d>
            <a:camera prst="orthographicFront"/>
            <a:lightRig rig="threePt" dir="t">
              <a:rot lat="0" lon="0" rev="10800000"/>
            </a:lightRig>
          </a:scene3d>
          <a:sp3d>
            <a:bevelT w="127000" h="38100"/>
          </a:sp3d>
        </c:spPr>
      </c:pivotFmt>
    </c:pivotFmts>
    <c:plotArea>
      <c:layout/>
      <c:barChart>
        <c:barDir val="col"/>
        <c:grouping val="clustered"/>
        <c:varyColors val="0"/>
        <c:ser>
          <c:idx val="0"/>
          <c:order val="0"/>
          <c:tx>
            <c:strRef>
              <c:f>'Data Processor'!$J$10</c:f>
              <c:strCache>
                <c:ptCount val="1"/>
                <c:pt idx="0">
                  <c:v>Total</c:v>
                </c:pt>
              </c:strCache>
            </c:strRef>
          </c:tx>
          <c:spPr>
            <a:solidFill>
              <a:schemeClr val="accent1"/>
            </a:solidFill>
            <a:ln>
              <a:noFill/>
            </a:ln>
            <a:effectLst>
              <a:glow>
                <a:schemeClr val="tx2"/>
              </a:glow>
            </a:effectLst>
            <a:scene3d>
              <a:camera prst="orthographicFront"/>
              <a:lightRig rig="threePt" dir="t">
                <a:rot lat="0" lon="0" rev="10800000"/>
              </a:lightRig>
            </a:scene3d>
            <a:sp3d>
              <a:bevelT w="127000" h="38100"/>
            </a:sp3d>
          </c:spPr>
          <c:invertIfNegative val="0"/>
          <c:dPt>
            <c:idx val="0"/>
            <c:invertIfNegative val="0"/>
            <c:bubble3D val="0"/>
            <c:spPr>
              <a:solidFill>
                <a:schemeClr val="accent2">
                  <a:lumMod val="75000"/>
                </a:schemeClr>
              </a:solidFill>
              <a:ln>
                <a:noFill/>
              </a:ln>
              <a:effectLst>
                <a:glow>
                  <a:schemeClr val="tx2"/>
                </a:glow>
              </a:effectLst>
              <a:scene3d>
                <a:camera prst="orthographicFront"/>
                <a:lightRig rig="threePt" dir="t">
                  <a:rot lat="0" lon="0" rev="10800000"/>
                </a:lightRig>
              </a:scene3d>
              <a:sp3d>
                <a:bevelT w="127000" h="38100"/>
              </a:sp3d>
            </c:spPr>
            <c:extLst>
              <c:ext xmlns:c16="http://schemas.microsoft.com/office/drawing/2014/chart" uri="{C3380CC4-5D6E-409C-BE32-E72D297353CC}">
                <c16:uniqueId val="{00000002-92ED-4700-88BA-F5B2C9DB90C7}"/>
              </c:ext>
            </c:extLst>
          </c:dPt>
          <c:dPt>
            <c:idx val="1"/>
            <c:invertIfNegative val="0"/>
            <c:bubble3D val="0"/>
            <c:spPr>
              <a:solidFill>
                <a:schemeClr val="accent3">
                  <a:lumMod val="75000"/>
                </a:schemeClr>
              </a:solidFill>
              <a:ln>
                <a:noFill/>
              </a:ln>
              <a:effectLst>
                <a:glow>
                  <a:schemeClr val="tx2"/>
                </a:glow>
              </a:effectLst>
              <a:scene3d>
                <a:camera prst="orthographicFront"/>
                <a:lightRig rig="threePt" dir="t">
                  <a:rot lat="0" lon="0" rev="10800000"/>
                </a:lightRig>
              </a:scene3d>
              <a:sp3d>
                <a:bevelT w="127000" h="38100"/>
              </a:sp3d>
            </c:spPr>
            <c:extLst>
              <c:ext xmlns:c16="http://schemas.microsoft.com/office/drawing/2014/chart" uri="{C3380CC4-5D6E-409C-BE32-E72D297353CC}">
                <c16:uniqueId val="{00000003-92ED-4700-88BA-F5B2C9DB90C7}"/>
              </c:ext>
            </c:extLst>
          </c:dPt>
          <c:dPt>
            <c:idx val="2"/>
            <c:invertIfNegative val="0"/>
            <c:bubble3D val="0"/>
            <c:spPr>
              <a:solidFill>
                <a:schemeClr val="accent6"/>
              </a:solidFill>
              <a:ln>
                <a:noFill/>
              </a:ln>
              <a:effectLst>
                <a:glow>
                  <a:schemeClr val="tx2"/>
                </a:glow>
              </a:effectLst>
              <a:scene3d>
                <a:camera prst="orthographicFront"/>
                <a:lightRig rig="threePt" dir="t">
                  <a:rot lat="0" lon="0" rev="10800000"/>
                </a:lightRig>
              </a:scene3d>
              <a:sp3d>
                <a:bevelT w="127000" h="38100"/>
              </a:sp3d>
            </c:spPr>
            <c:extLst>
              <c:ext xmlns:c16="http://schemas.microsoft.com/office/drawing/2014/chart" uri="{C3380CC4-5D6E-409C-BE32-E72D297353CC}">
                <c16:uniqueId val="{00000004-92ED-4700-88BA-F5B2C9DB90C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Processor'!$I$11:$I$14</c:f>
              <c:strCache>
                <c:ptCount val="3"/>
                <c:pt idx="0">
                  <c:v>HIGH</c:v>
                </c:pt>
                <c:pt idx="1">
                  <c:v>LOW</c:v>
                </c:pt>
                <c:pt idx="2">
                  <c:v>MEDIUM</c:v>
                </c:pt>
              </c:strCache>
            </c:strRef>
          </c:cat>
          <c:val>
            <c:numRef>
              <c:f>'Data Processor'!$J$11:$J$14</c:f>
              <c:numCache>
                <c:formatCode>0.00%</c:formatCode>
                <c:ptCount val="3"/>
                <c:pt idx="0">
                  <c:v>0.33333333333333331</c:v>
                </c:pt>
                <c:pt idx="1">
                  <c:v>0.25</c:v>
                </c:pt>
                <c:pt idx="2">
                  <c:v>0.41666666666666669</c:v>
                </c:pt>
              </c:numCache>
            </c:numRef>
          </c:val>
          <c:extLst>
            <c:ext xmlns:c16="http://schemas.microsoft.com/office/drawing/2014/chart" uri="{C3380CC4-5D6E-409C-BE32-E72D297353CC}">
              <c16:uniqueId val="{00000000-92ED-4700-88BA-F5B2C9DB90C7}"/>
            </c:ext>
          </c:extLst>
        </c:ser>
        <c:dLbls>
          <c:dLblPos val="outEnd"/>
          <c:showLegendKey val="0"/>
          <c:showVal val="1"/>
          <c:showCatName val="0"/>
          <c:showSerName val="0"/>
          <c:showPercent val="0"/>
          <c:showBubbleSize val="0"/>
        </c:dLbls>
        <c:gapWidth val="125"/>
        <c:overlap val="-30"/>
        <c:axId val="279348336"/>
        <c:axId val="279346416"/>
      </c:barChart>
      <c:catAx>
        <c:axId val="27934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US"/>
          </a:p>
        </c:txPr>
        <c:crossAx val="279346416"/>
        <c:crosses val="autoZero"/>
        <c:auto val="1"/>
        <c:lblAlgn val="ctr"/>
        <c:lblOffset val="100"/>
        <c:noMultiLvlLbl val="0"/>
      </c:catAx>
      <c:valAx>
        <c:axId val="27934641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7934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86363770155638"/>
          <c:y val="0.25206024346032796"/>
          <c:w val="0.62468998658016639"/>
          <c:h val="0.74793975653967204"/>
        </c:manualLayout>
      </c:layout>
      <c:doughnutChart>
        <c:varyColors val="1"/>
        <c:ser>
          <c:idx val="0"/>
          <c:order val="0"/>
          <c:dPt>
            <c:idx val="0"/>
            <c:bubble3D val="0"/>
            <c:spPr>
              <a:solidFill>
                <a:schemeClr val="accent3">
                  <a:lumMod val="75000"/>
                </a:schemeClr>
              </a:solidFill>
              <a:ln w="19050">
                <a:noFill/>
              </a:ln>
              <a:effectLst/>
            </c:spPr>
            <c:extLst>
              <c:ext xmlns:c16="http://schemas.microsoft.com/office/drawing/2014/chart" uri="{C3380CC4-5D6E-409C-BE32-E72D297353CC}">
                <c16:uniqueId val="{00000001-F24D-40B9-B99F-3257ECA34BF7}"/>
              </c:ext>
            </c:extLst>
          </c:dPt>
          <c:dPt>
            <c:idx val="1"/>
            <c:bubble3D val="0"/>
            <c:spPr>
              <a:solidFill>
                <a:srgbClr val="FFC000"/>
              </a:solidFill>
              <a:ln w="19050">
                <a:noFill/>
              </a:ln>
              <a:effectLst/>
            </c:spPr>
            <c:extLst>
              <c:ext xmlns:c16="http://schemas.microsoft.com/office/drawing/2014/chart" uri="{C3380CC4-5D6E-409C-BE32-E72D297353CC}">
                <c16:uniqueId val="{00000003-F24D-40B9-B99F-3257ECA34BF7}"/>
              </c:ext>
            </c:extLst>
          </c:dPt>
          <c:dPt>
            <c:idx val="2"/>
            <c:bubble3D val="0"/>
            <c:spPr>
              <a:solidFill>
                <a:schemeClr val="accent2">
                  <a:lumMod val="75000"/>
                </a:schemeClr>
              </a:solidFill>
              <a:ln w="19050">
                <a:noFill/>
              </a:ln>
              <a:effectLst/>
            </c:spPr>
            <c:extLst>
              <c:ext xmlns:c16="http://schemas.microsoft.com/office/drawing/2014/chart" uri="{C3380CC4-5D6E-409C-BE32-E72D297353CC}">
                <c16:uniqueId val="{00000005-F24D-40B9-B99F-3257ECA34BF7}"/>
              </c:ext>
            </c:extLst>
          </c:dPt>
          <c:dPt>
            <c:idx val="3"/>
            <c:bubble3D val="0"/>
            <c:spPr>
              <a:noFill/>
              <a:ln w="19050">
                <a:noFill/>
              </a:ln>
              <a:effectLst/>
            </c:spPr>
            <c:extLst>
              <c:ext xmlns:c16="http://schemas.microsoft.com/office/drawing/2014/chart" uri="{C3380CC4-5D6E-409C-BE32-E72D297353CC}">
                <c16:uniqueId val="{00000007-F24D-40B9-B99F-3257ECA34BF7}"/>
              </c:ext>
            </c:extLst>
          </c:dPt>
          <c:cat>
            <c:strRef>
              <c:f>'Data Processor'!$H$25:$H$28</c:f>
              <c:strCache>
                <c:ptCount val="3"/>
                <c:pt idx="0">
                  <c:v>LOW</c:v>
                </c:pt>
                <c:pt idx="1">
                  <c:v>MEDIUM</c:v>
                </c:pt>
                <c:pt idx="2">
                  <c:v>HIGH</c:v>
                </c:pt>
              </c:strCache>
            </c:strRef>
          </c:cat>
          <c:val>
            <c:numRef>
              <c:f>'Data Processor'!$I$25:$I$28</c:f>
              <c:numCache>
                <c:formatCode>General</c:formatCode>
                <c:ptCount val="4"/>
                <c:pt idx="0">
                  <c:v>30</c:v>
                </c:pt>
                <c:pt idx="1">
                  <c:v>40</c:v>
                </c:pt>
                <c:pt idx="2">
                  <c:v>30</c:v>
                </c:pt>
                <c:pt idx="3">
                  <c:v>100</c:v>
                </c:pt>
              </c:numCache>
            </c:numRef>
          </c:val>
          <c:extLst>
            <c:ext xmlns:c16="http://schemas.microsoft.com/office/drawing/2014/chart" uri="{C3380CC4-5D6E-409C-BE32-E72D297353CC}">
              <c16:uniqueId val="{00000008-F24D-40B9-B99F-3257ECA34BF7}"/>
            </c:ext>
          </c:extLst>
        </c:ser>
        <c:dLbls>
          <c:showLegendKey val="0"/>
          <c:showVal val="0"/>
          <c:showCatName val="0"/>
          <c:showSerName val="0"/>
          <c:showPercent val="0"/>
          <c:showBubbleSize val="0"/>
          <c:showLeaderLines val="1"/>
        </c:dLbls>
        <c:firstSliceAng val="270"/>
        <c:holeSize val="55"/>
      </c:doughnutChart>
      <c:pieChart>
        <c:varyColors val="1"/>
        <c:ser>
          <c:idx val="1"/>
          <c:order val="1"/>
          <c:dPt>
            <c:idx val="0"/>
            <c:bubble3D val="0"/>
            <c:spPr>
              <a:noFill/>
              <a:ln w="19050">
                <a:noFill/>
              </a:ln>
              <a:effectLst/>
            </c:spPr>
            <c:extLst>
              <c:ext xmlns:c16="http://schemas.microsoft.com/office/drawing/2014/chart" uri="{C3380CC4-5D6E-409C-BE32-E72D297353CC}">
                <c16:uniqueId val="{0000000A-F24D-40B9-B99F-3257ECA34BF7}"/>
              </c:ext>
            </c:extLst>
          </c:dPt>
          <c:dPt>
            <c:idx val="1"/>
            <c:bubble3D val="0"/>
            <c:spPr>
              <a:solidFill>
                <a:schemeClr val="tx1"/>
              </a:solidFill>
              <a:ln w="12700" cmpd="sng">
                <a:solidFill>
                  <a:schemeClr val="bg1">
                    <a:alpha val="40000"/>
                  </a:schemeClr>
                </a:solidFill>
                <a:prstDash val="solid"/>
              </a:ln>
              <a:effectLst/>
            </c:spPr>
            <c:extLst>
              <c:ext xmlns:c16="http://schemas.microsoft.com/office/drawing/2014/chart" uri="{C3380CC4-5D6E-409C-BE32-E72D297353CC}">
                <c16:uniqueId val="{0000000C-F24D-40B9-B99F-3257ECA34BF7}"/>
              </c:ext>
            </c:extLst>
          </c:dPt>
          <c:dPt>
            <c:idx val="2"/>
            <c:bubble3D val="0"/>
            <c:spPr>
              <a:noFill/>
              <a:ln w="19050">
                <a:noFill/>
              </a:ln>
              <a:effectLst/>
            </c:spPr>
            <c:extLst>
              <c:ext xmlns:c16="http://schemas.microsoft.com/office/drawing/2014/chart" uri="{C3380CC4-5D6E-409C-BE32-E72D297353CC}">
                <c16:uniqueId val="{0000000E-F24D-40B9-B99F-3257ECA34BF7}"/>
              </c:ext>
            </c:extLst>
          </c:dPt>
          <c:dPt>
            <c:idx val="3"/>
            <c:bubble3D val="0"/>
            <c:spPr>
              <a:noFill/>
              <a:ln w="19050">
                <a:noFill/>
              </a:ln>
              <a:effectLst/>
            </c:spPr>
            <c:extLst>
              <c:ext xmlns:c16="http://schemas.microsoft.com/office/drawing/2014/chart" uri="{C3380CC4-5D6E-409C-BE32-E72D297353CC}">
                <c16:uniqueId val="{00000010-F24D-40B9-B99F-3257ECA34BF7}"/>
              </c:ext>
            </c:extLst>
          </c:dPt>
          <c:val>
            <c:numRef>
              <c:f>'Data Processor'!$K$25:$K$28</c:f>
              <c:numCache>
                <c:formatCode>General</c:formatCode>
                <c:ptCount val="4"/>
                <c:pt idx="0" formatCode="0.00">
                  <c:v>61.25</c:v>
                </c:pt>
                <c:pt idx="1">
                  <c:v>1.5</c:v>
                </c:pt>
                <c:pt idx="2" formatCode="0.00">
                  <c:v>37.25</c:v>
                </c:pt>
                <c:pt idx="3">
                  <c:v>100</c:v>
                </c:pt>
              </c:numCache>
            </c:numRef>
          </c:val>
          <c:extLst>
            <c:ext xmlns:c16="http://schemas.microsoft.com/office/drawing/2014/chart" uri="{C3380CC4-5D6E-409C-BE32-E72D297353CC}">
              <c16:uniqueId val="{00000011-F24D-40B9-B99F-3257ECA34BF7}"/>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[Black_Go_NoGo_System_with_Predictor_14-04-2026 (version 2.0).xlsx]Data Processor!Decision Breakdown</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r>
              <a:rPr lang="en-US" b="1">
                <a:solidFill>
                  <a:schemeClr val="bg1"/>
                </a:solidFill>
                <a:latin typeface="Georgia" panose="02040502050405020303" pitchFamily="18" charset="0"/>
              </a:rPr>
              <a:t>DECISION</a:t>
            </a:r>
            <a:r>
              <a:rPr lang="en-US" b="1" baseline="0">
                <a:solidFill>
                  <a:schemeClr val="bg1"/>
                </a:solidFill>
                <a:latin typeface="Georgia" panose="02040502050405020303" pitchFamily="18" charset="0"/>
              </a:rPr>
              <a:t> BREAKDOWN</a:t>
            </a:r>
            <a:endParaRPr lang="en-US" b="1">
              <a:solidFill>
                <a:schemeClr val="bg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8985D"/>
          </a:solidFill>
          <a:ln w="19050">
            <a:noFill/>
          </a:ln>
          <a:effectLst/>
        </c:spPr>
      </c:pivotFmt>
      <c:pivotFmt>
        <c:idx val="2"/>
        <c:spPr>
          <a:solidFill>
            <a:srgbClr val="B91C1C"/>
          </a:solidFill>
          <a:ln w="19050">
            <a:noFill/>
          </a:ln>
          <a:effectLst/>
        </c:spPr>
      </c:pivotFmt>
      <c:pivotFmt>
        <c:idx val="3"/>
        <c:spPr>
          <a:solidFill>
            <a:schemeClr val="accent6">
              <a:lumMod val="75000"/>
            </a:scheme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8985D"/>
          </a:solidFill>
          <a:ln w="19050">
            <a:noFill/>
          </a:ln>
          <a:effectLst/>
        </c:spPr>
      </c:pivotFmt>
      <c:pivotFmt>
        <c:idx val="6"/>
        <c:spPr>
          <a:solidFill>
            <a:srgbClr val="B91C1C"/>
          </a:solidFill>
          <a:ln w="19050">
            <a:noFill/>
          </a:ln>
          <a:effectLst/>
        </c:spPr>
      </c:pivotFmt>
      <c:pivotFmt>
        <c:idx val="7"/>
        <c:spPr>
          <a:solidFill>
            <a:schemeClr val="accent6">
              <a:lumMod val="75000"/>
            </a:schemeClr>
          </a:solidFill>
          <a:ln w="19050">
            <a:noFill/>
          </a:ln>
          <a:effectLst/>
        </c:spPr>
      </c:pivotFmt>
      <c:pivotFmt>
        <c:idx val="8"/>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19050">
            <a:noFill/>
          </a:ln>
          <a:effectLst/>
        </c:spPr>
      </c:pivotFmt>
      <c:pivotFmt>
        <c:idx val="10"/>
        <c:spPr>
          <a:solidFill>
            <a:srgbClr val="B91C1C"/>
          </a:solidFill>
          <a:ln w="19050">
            <a:noFill/>
          </a:ln>
          <a:effectLst/>
        </c:spPr>
      </c:pivotFmt>
      <c:pivotFmt>
        <c:idx val="11"/>
        <c:spPr>
          <a:solidFill>
            <a:schemeClr val="accent6">
              <a:lumMod val="75000"/>
            </a:schemeClr>
          </a:solidFill>
          <a:ln w="19050">
            <a:noFill/>
          </a:ln>
          <a:effectLst/>
        </c:spPr>
      </c:pivotFmt>
    </c:pivotFmts>
    <c:plotArea>
      <c:layout/>
      <c:doughnutChart>
        <c:varyColors val="1"/>
        <c:ser>
          <c:idx val="0"/>
          <c:order val="0"/>
          <c:tx>
            <c:strRef>
              <c:f>'Data Processor'!$C$10</c:f>
              <c:strCache>
                <c:ptCount val="1"/>
                <c:pt idx="0">
                  <c:v>Total</c:v>
                </c:pt>
              </c:strCache>
            </c:strRef>
          </c:tx>
          <c:spPr>
            <a:ln>
              <a:noFill/>
            </a:ln>
          </c:spPr>
          <c:dPt>
            <c:idx val="0"/>
            <c:bubble3D val="0"/>
            <c:spPr>
              <a:solidFill>
                <a:srgbClr val="00B050"/>
              </a:solidFill>
              <a:ln w="19050">
                <a:noFill/>
              </a:ln>
              <a:effectLst/>
            </c:spPr>
            <c:extLst>
              <c:ext xmlns:c16="http://schemas.microsoft.com/office/drawing/2014/chart" uri="{C3380CC4-5D6E-409C-BE32-E72D297353CC}">
                <c16:uniqueId val="{00000001-1FBB-4588-AC1F-F411E22EB220}"/>
              </c:ext>
            </c:extLst>
          </c:dPt>
          <c:dPt>
            <c:idx val="1"/>
            <c:bubble3D val="0"/>
            <c:spPr>
              <a:solidFill>
                <a:srgbClr val="B91C1C"/>
              </a:solidFill>
              <a:ln w="19050">
                <a:noFill/>
              </a:ln>
              <a:effectLst/>
            </c:spPr>
            <c:extLst>
              <c:ext xmlns:c16="http://schemas.microsoft.com/office/drawing/2014/chart" uri="{C3380CC4-5D6E-409C-BE32-E72D297353CC}">
                <c16:uniqueId val="{00000003-1FBB-4588-AC1F-F411E22EB220}"/>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1FBB-4588-AC1F-F411E22EB220}"/>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Processor'!$B$11:$B$14</c:f>
              <c:strCache>
                <c:ptCount val="3"/>
                <c:pt idx="0">
                  <c:v>GO</c:v>
                </c:pt>
                <c:pt idx="1">
                  <c:v>NO GO</c:v>
                </c:pt>
                <c:pt idx="2">
                  <c:v>REVIEW</c:v>
                </c:pt>
              </c:strCache>
            </c:strRef>
          </c:cat>
          <c:val>
            <c:numRef>
              <c:f>'Data Processor'!$C$11:$C$14</c:f>
              <c:numCache>
                <c:formatCode>0.00%</c:formatCode>
                <c:ptCount val="3"/>
                <c:pt idx="0">
                  <c:v>0.41666666666666669</c:v>
                </c:pt>
                <c:pt idx="1">
                  <c:v>0.33333333333333331</c:v>
                </c:pt>
                <c:pt idx="2">
                  <c:v>0.25</c:v>
                </c:pt>
              </c:numCache>
            </c:numRef>
          </c:val>
          <c:extLst>
            <c:ext xmlns:c16="http://schemas.microsoft.com/office/drawing/2014/chart" uri="{C3380CC4-5D6E-409C-BE32-E72D297353CC}">
              <c16:uniqueId val="{00000006-1FBB-4588-AC1F-F411E22EB220}"/>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77046296503743494"/>
          <c:y val="0.25318205016039663"/>
          <c:w val="0.21287034633090093"/>
          <c:h val="0.4288210848643919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[Black_Go_NoGo_System_with_Predictor_14-04-2026 (version 2.0).xlsx]Data Processor!Win Probability by Location</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Georgia" panose="02040502050405020303" pitchFamily="18" charset="0"/>
              </a:rPr>
              <a:t>WIN</a:t>
            </a:r>
            <a:r>
              <a:rPr lang="en-US" baseline="0">
                <a:latin typeface="Georgia" panose="02040502050405020303" pitchFamily="18" charset="0"/>
              </a:rPr>
              <a:t> PROBABILITY BY LOCATION</a:t>
            </a:r>
            <a:endParaRPr lang="en-US">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9CA5F6"/>
              </a:gs>
              <a:gs pos="60000">
                <a:srgbClr val="4C57E0"/>
              </a:gs>
            </a:gsLst>
            <a:lin ang="5400000" scaled="1"/>
          </a:gradFill>
          <a:ln w="127000" cap="flat">
            <a:gradFill>
              <a:gsLst>
                <a:gs pos="0">
                  <a:srgbClr val="9CA5F6"/>
                </a:gs>
                <a:gs pos="60000">
                  <a:srgbClr val="4C57E0"/>
                </a:gs>
              </a:gsLst>
              <a:lin ang="5400000" scaled="1"/>
            </a:gradFill>
          </a:ln>
          <a:effectLst>
            <a:glow>
              <a:srgbClr val="00B7D2">
                <a:alpha val="40000"/>
              </a:srgbClr>
            </a:glow>
          </a:effectLst>
          <a:scene3d>
            <a:camera prst="orthographicFront"/>
            <a:lightRig rig="threePt" dir="t">
              <a:rot lat="0" lon="0" rev="12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Processor'!$C$21</c:f>
              <c:strCache>
                <c:ptCount val="1"/>
                <c:pt idx="0">
                  <c:v>Total</c:v>
                </c:pt>
              </c:strCache>
            </c:strRef>
          </c:tx>
          <c:spPr>
            <a:gradFill rotWithShape="1">
              <a:gsLst>
                <a:gs pos="0">
                  <a:srgbClr val="9CA5F6"/>
                </a:gs>
                <a:gs pos="60000">
                  <a:srgbClr val="4C57E0"/>
                </a:gs>
              </a:gsLst>
              <a:lin ang="5400000" scaled="1"/>
            </a:gradFill>
            <a:ln w="127000" cap="flat">
              <a:gradFill>
                <a:gsLst>
                  <a:gs pos="0">
                    <a:srgbClr val="9CA5F6"/>
                  </a:gs>
                  <a:gs pos="60000">
                    <a:srgbClr val="4C57E0"/>
                  </a:gs>
                </a:gsLst>
                <a:lin ang="5400000" scaled="1"/>
              </a:gradFill>
            </a:ln>
            <a:effectLst>
              <a:glow>
                <a:srgbClr val="00B7D2">
                  <a:alpha val="40000"/>
                </a:srgbClr>
              </a:glow>
            </a:effectLst>
            <a:scene3d>
              <a:camera prst="orthographicFront"/>
              <a:lightRig rig="threePt" dir="t">
                <a:rot lat="0" lon="0" rev="1200000"/>
              </a:lightRig>
            </a:scene3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Processor'!$B$22:$B$44</c:f>
              <c:strCache>
                <c:ptCount val="22"/>
                <c:pt idx="0">
                  <c:v>Abha</c:v>
                </c:pt>
                <c:pt idx="1">
                  <c:v>Al Qasim</c:v>
                </c:pt>
                <c:pt idx="2">
                  <c:v>Al-Ahsa (Hofuf)</c:v>
                </c:pt>
                <c:pt idx="3">
                  <c:v>Al-Bahah</c:v>
                </c:pt>
                <c:pt idx="4">
                  <c:v>Al-Kharj</c:v>
                </c:pt>
                <c:pt idx="5">
                  <c:v>Al-Khobar</c:v>
                </c:pt>
                <c:pt idx="6">
                  <c:v>Al-Qatif</c:v>
                </c:pt>
                <c:pt idx="7">
                  <c:v>Al-Ula</c:v>
                </c:pt>
                <c:pt idx="8">
                  <c:v>Dammam</c:v>
                </c:pt>
                <c:pt idx="9">
                  <c:v>Dhahran</c:v>
                </c:pt>
                <c:pt idx="10">
                  <c:v>Ha'il</c:v>
                </c:pt>
                <c:pt idx="11">
                  <c:v>Jazan (Jizan)</c:v>
                </c:pt>
                <c:pt idx="12">
                  <c:v>Jeddah</c:v>
                </c:pt>
                <c:pt idx="13">
                  <c:v>Jubail</c:v>
                </c:pt>
                <c:pt idx="14">
                  <c:v>Mecca (Makkah)</c:v>
                </c:pt>
                <c:pt idx="15">
                  <c:v>Medina (Madinah)</c:v>
                </c:pt>
                <c:pt idx="16">
                  <c:v>Najran</c:v>
                </c:pt>
                <c:pt idx="17">
                  <c:v>Ras Tanura</c:v>
                </c:pt>
                <c:pt idx="18">
                  <c:v>Riyadh</c:v>
                </c:pt>
                <c:pt idx="19">
                  <c:v>Tabuk</c:v>
                </c:pt>
                <c:pt idx="20">
                  <c:v>Umluj</c:v>
                </c:pt>
                <c:pt idx="21">
                  <c:v>Yanbu</c:v>
                </c:pt>
              </c:strCache>
            </c:strRef>
          </c:cat>
          <c:val>
            <c:numRef>
              <c:f>'Data Processor'!$C$22:$C$44</c:f>
              <c:numCache>
                <c:formatCode>0%</c:formatCode>
                <c:ptCount val="22"/>
                <c:pt idx="0">
                  <c:v>0.75</c:v>
                </c:pt>
                <c:pt idx="1">
                  <c:v>0.51</c:v>
                </c:pt>
                <c:pt idx="2">
                  <c:v>0.09</c:v>
                </c:pt>
                <c:pt idx="3">
                  <c:v>0.38250000000000001</c:v>
                </c:pt>
                <c:pt idx="4">
                  <c:v>0.51</c:v>
                </c:pt>
                <c:pt idx="5">
                  <c:v>0.38250000000000001</c:v>
                </c:pt>
                <c:pt idx="6">
                  <c:v>0.38250000000000001</c:v>
                </c:pt>
                <c:pt idx="7">
                  <c:v>0.18</c:v>
                </c:pt>
                <c:pt idx="8">
                  <c:v>0.75</c:v>
                </c:pt>
                <c:pt idx="9">
                  <c:v>0.38250000000000001</c:v>
                </c:pt>
                <c:pt idx="10">
                  <c:v>0.51</c:v>
                </c:pt>
                <c:pt idx="11">
                  <c:v>0.51</c:v>
                </c:pt>
                <c:pt idx="12">
                  <c:v>0.75</c:v>
                </c:pt>
                <c:pt idx="13">
                  <c:v>0.6</c:v>
                </c:pt>
                <c:pt idx="14">
                  <c:v>0.18</c:v>
                </c:pt>
                <c:pt idx="15">
                  <c:v>0.18</c:v>
                </c:pt>
                <c:pt idx="16">
                  <c:v>0.51</c:v>
                </c:pt>
                <c:pt idx="17">
                  <c:v>0.38250000000000001</c:v>
                </c:pt>
                <c:pt idx="18">
                  <c:v>0.18</c:v>
                </c:pt>
                <c:pt idx="19">
                  <c:v>0.38250000000000001</c:v>
                </c:pt>
                <c:pt idx="20">
                  <c:v>0.38250000000000001</c:v>
                </c:pt>
                <c:pt idx="21">
                  <c:v>0.18</c:v>
                </c:pt>
              </c:numCache>
            </c:numRef>
          </c:val>
          <c:extLst>
            <c:ext xmlns:c16="http://schemas.microsoft.com/office/drawing/2014/chart" uri="{C3380CC4-5D6E-409C-BE32-E72D297353CC}">
              <c16:uniqueId val="{00000000-4904-4860-89BE-F6D765DB4287}"/>
            </c:ext>
          </c:extLst>
        </c:ser>
        <c:dLbls>
          <c:dLblPos val="outEnd"/>
          <c:showLegendKey val="0"/>
          <c:showVal val="1"/>
          <c:showCatName val="0"/>
          <c:showSerName val="0"/>
          <c:showPercent val="0"/>
          <c:showBubbleSize val="0"/>
        </c:dLbls>
        <c:gapWidth val="180"/>
        <c:overlap val="25"/>
        <c:axId val="1180814079"/>
        <c:axId val="1180814559"/>
      </c:barChart>
      <c:catAx>
        <c:axId val="1180814079"/>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814559"/>
        <c:crosses val="autoZero"/>
        <c:auto val="1"/>
        <c:lblAlgn val="ctr"/>
        <c:lblOffset val="100"/>
        <c:noMultiLvlLbl val="0"/>
      </c:catAx>
      <c:valAx>
        <c:axId val="11808145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81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[Black_Go_NoGo_System_with_Predictor_14-04-2026 (version 2.0).xlsx]Data Processor!CEO Won Projects Graph</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Bid Win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cmpd="sng">
            <a:solidFill>
              <a:srgbClr val="00B0F0"/>
            </a:solidFill>
            <a:round/>
          </a:ln>
          <a:effectLst>
            <a:glow>
              <a:srgbClr val="00B0F0"/>
            </a:glow>
            <a:outerShdw blurRad="50800" dist="25400" dir="5400000" algn="ctr" rotWithShape="0">
              <a:srgbClr val="00B0F0"/>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cmpd="sng">
            <a:solidFill>
              <a:srgbClr val="00B0F0"/>
            </a:solidFill>
            <a:round/>
          </a:ln>
          <a:effectLst>
            <a:glow>
              <a:srgbClr val="00B0F0"/>
            </a:glow>
            <a:outerShdw blurRad="50800" dist="25400" dir="5400000" algn="ctr" rotWithShape="0">
              <a:srgbClr val="00B0F0"/>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cmpd="sng">
            <a:solidFill>
              <a:srgbClr val="00B0F0"/>
            </a:solidFill>
            <a:round/>
          </a:ln>
          <a:effectLst>
            <a:glow>
              <a:srgbClr val="00B0F0"/>
            </a:glow>
            <a:outerShdw blurRad="50800" dist="25400" dir="5400000" algn="ctr" rotWithShape="0">
              <a:srgbClr val="00B0F0"/>
            </a:outerShdw>
            <a:softEdge rad="0"/>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Processor'!$X$31</c:f>
              <c:strCache>
                <c:ptCount val="1"/>
                <c:pt idx="0">
                  <c:v>Total</c:v>
                </c:pt>
              </c:strCache>
            </c:strRef>
          </c:tx>
          <c:spPr>
            <a:ln w="28575" cap="rnd" cmpd="sng">
              <a:solidFill>
                <a:srgbClr val="00B0F0"/>
              </a:solidFill>
              <a:round/>
            </a:ln>
            <a:effectLst>
              <a:glow>
                <a:srgbClr val="00B0F0"/>
              </a:glow>
              <a:outerShdw blurRad="50800" dist="25400" dir="5400000" algn="ctr" rotWithShape="0">
                <a:srgbClr val="00B0F0"/>
              </a:outerShdw>
              <a:softEdge rad="0"/>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Processor'!$W$32:$W$37</c:f>
              <c:strCache>
                <c:ptCount val="5"/>
                <c:pt idx="0">
                  <c:v>2022</c:v>
                </c:pt>
                <c:pt idx="1">
                  <c:v>2023</c:v>
                </c:pt>
                <c:pt idx="2">
                  <c:v>2024</c:v>
                </c:pt>
                <c:pt idx="3">
                  <c:v>2025</c:v>
                </c:pt>
                <c:pt idx="4">
                  <c:v>2026</c:v>
                </c:pt>
              </c:strCache>
            </c:strRef>
          </c:cat>
          <c:val>
            <c:numRef>
              <c:f>'Data Processor'!$X$32:$X$37</c:f>
              <c:numCache>
                <c:formatCode>0.00%</c:formatCode>
                <c:ptCount val="5"/>
                <c:pt idx="0">
                  <c:v>0.1111111111111111</c:v>
                </c:pt>
                <c:pt idx="1">
                  <c:v>0.1111111111111111</c:v>
                </c:pt>
                <c:pt idx="2">
                  <c:v>0.22222222222222221</c:v>
                </c:pt>
                <c:pt idx="3">
                  <c:v>0.22222222222222221</c:v>
                </c:pt>
                <c:pt idx="4">
                  <c:v>0.33333333333333331</c:v>
                </c:pt>
              </c:numCache>
            </c:numRef>
          </c:val>
          <c:smooth val="1"/>
          <c:extLst>
            <c:ext xmlns:c16="http://schemas.microsoft.com/office/drawing/2014/chart" uri="{C3380CC4-5D6E-409C-BE32-E72D297353CC}">
              <c16:uniqueId val="{00000000-29FC-4728-8A2E-2EF207A260C5}"/>
            </c:ext>
          </c:extLst>
        </c:ser>
        <c:dLbls>
          <c:dLblPos val="t"/>
          <c:showLegendKey val="0"/>
          <c:showVal val="1"/>
          <c:showCatName val="0"/>
          <c:showSerName val="0"/>
          <c:showPercent val="0"/>
          <c:showBubbleSize val="0"/>
        </c:dLbls>
        <c:smooth val="0"/>
        <c:axId val="285216943"/>
        <c:axId val="285231343"/>
      </c:lineChart>
      <c:catAx>
        <c:axId val="28521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231343"/>
        <c:crosses val="autoZero"/>
        <c:auto val="1"/>
        <c:lblAlgn val="ctr"/>
        <c:lblOffset val="100"/>
        <c:noMultiLvlLbl val="0"/>
      </c:catAx>
      <c:valAx>
        <c:axId val="28523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21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[Black_Go_NoGo_System_with_Predictor_14-04-2026 (version 2.0).xlsx]Data Processor!CEO Pipline Status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Pipeline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93CE"/>
          </a:solidFill>
          <a:ln w="0">
            <a:noFill/>
          </a:ln>
          <a:effectLst>
            <a:glow rad="76200">
              <a:srgbClr val="0093CE">
                <a:alpha val="70000"/>
              </a:srgbClr>
            </a:glow>
            <a:outerShdw blurRad="50800" dist="50800" dir="5400000" sx="45000" sy="45000" algn="ctr" rotWithShape="0">
              <a:srgbClr val="0093CE">
                <a:alpha val="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3CE"/>
          </a:solidFill>
          <a:ln w="0">
            <a:noFill/>
          </a:ln>
          <a:effectLst>
            <a:glow rad="76200">
              <a:srgbClr val="0093CE">
                <a:alpha val="70000"/>
              </a:srgbClr>
            </a:glow>
            <a:outerShdw blurRad="50800" dist="50800" dir="5400000" sx="45000" sy="45000" algn="ctr" rotWithShape="0">
              <a:srgbClr val="0093CE">
                <a:alpha val="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93CE"/>
          </a:solidFill>
          <a:ln w="0">
            <a:noFill/>
          </a:ln>
          <a:effectLst>
            <a:glow rad="76200">
              <a:srgbClr val="0093CE">
                <a:alpha val="70000"/>
              </a:srgbClr>
            </a:glow>
            <a:outerShdw blurRad="50800" dist="50800" dir="5400000" sx="45000" sy="45000" algn="ctr" rotWithShape="0">
              <a:srgbClr val="0093CE">
                <a:alpha val="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w="0">
            <a:noFill/>
          </a:ln>
          <a:effectLst>
            <a:glow rad="76200">
              <a:schemeClr val="tx2">
                <a:alpha val="70000"/>
              </a:schemeClr>
            </a:glow>
            <a:outerShdw blurRad="50800" dist="50800" dir="5400000" sx="45000" sy="45000" algn="ctr" rotWithShape="0">
              <a:srgbClr val="0093CE">
                <a:alpha val="0"/>
              </a:srgbClr>
            </a:outerShdw>
          </a:effectLst>
        </c:spPr>
      </c:pivotFmt>
      <c:pivotFmt>
        <c:idx val="4"/>
        <c:spPr>
          <a:solidFill>
            <a:schemeClr val="accent6">
              <a:lumMod val="75000"/>
            </a:schemeClr>
          </a:solidFill>
          <a:ln w="0">
            <a:noFill/>
          </a:ln>
          <a:effectLst>
            <a:glow rad="76200">
              <a:schemeClr val="accent6">
                <a:lumMod val="75000"/>
                <a:alpha val="70000"/>
              </a:schemeClr>
            </a:glow>
            <a:outerShdw blurRad="50800" dist="50800" dir="5400000" sx="45000" sy="45000" algn="ctr" rotWithShape="0">
              <a:srgbClr val="0093CE">
                <a:alpha val="0"/>
              </a:srgbClr>
            </a:outerShdw>
          </a:effectLst>
        </c:spPr>
      </c:pivotFmt>
      <c:pivotFmt>
        <c:idx val="5"/>
        <c:spPr>
          <a:solidFill>
            <a:srgbClr val="C00000"/>
          </a:solidFill>
          <a:ln w="0">
            <a:noFill/>
          </a:ln>
          <a:effectLst>
            <a:glow rad="76200">
              <a:srgbClr val="C00000">
                <a:alpha val="70000"/>
              </a:srgbClr>
            </a:glow>
            <a:outerShdw blurRad="50800" dist="50800" dir="5400000" sx="45000" sy="45000" algn="ctr" rotWithShape="0">
              <a:srgbClr val="0093CE">
                <a:alpha val="0"/>
              </a:srgbClr>
            </a:outerShdw>
          </a:effectLst>
        </c:spPr>
      </c:pivotFmt>
    </c:pivotFmts>
    <c:plotArea>
      <c:layout/>
      <c:barChart>
        <c:barDir val="bar"/>
        <c:grouping val="stacked"/>
        <c:varyColors val="0"/>
        <c:ser>
          <c:idx val="0"/>
          <c:order val="0"/>
          <c:tx>
            <c:strRef>
              <c:f>'Data Processor'!$AA$29</c:f>
              <c:strCache>
                <c:ptCount val="1"/>
                <c:pt idx="0">
                  <c:v>Total</c:v>
                </c:pt>
              </c:strCache>
            </c:strRef>
          </c:tx>
          <c:spPr>
            <a:solidFill>
              <a:srgbClr val="0093CE"/>
            </a:solidFill>
            <a:ln w="0">
              <a:noFill/>
            </a:ln>
            <a:effectLst>
              <a:glow rad="76200">
                <a:srgbClr val="0093CE">
                  <a:alpha val="70000"/>
                </a:srgbClr>
              </a:glow>
              <a:outerShdw blurRad="50800" dist="50800" dir="5400000" sx="45000" sy="45000" algn="ctr" rotWithShape="0">
                <a:srgbClr val="0093CE">
                  <a:alpha val="0"/>
                </a:srgbClr>
              </a:outerShdw>
            </a:effectLst>
          </c:spPr>
          <c:invertIfNegative val="0"/>
          <c:dPt>
            <c:idx val="0"/>
            <c:invertIfNegative val="0"/>
            <c:bubble3D val="0"/>
            <c:spPr>
              <a:solidFill>
                <a:srgbClr val="C00000"/>
              </a:solidFill>
              <a:ln w="0">
                <a:noFill/>
              </a:ln>
              <a:effectLst>
                <a:glow rad="76200">
                  <a:srgbClr val="C00000">
                    <a:alpha val="70000"/>
                  </a:srgbClr>
                </a:glow>
                <a:outerShdw blurRad="50800" dist="50800" dir="5400000" sx="45000" sy="45000" algn="ctr" rotWithShape="0">
                  <a:srgbClr val="0093CE">
                    <a:alpha val="0"/>
                  </a:srgbClr>
                </a:outerShdw>
              </a:effectLst>
            </c:spPr>
            <c:extLst>
              <c:ext xmlns:c16="http://schemas.microsoft.com/office/drawing/2014/chart" uri="{C3380CC4-5D6E-409C-BE32-E72D297353CC}">
                <c16:uniqueId val="{00000002-5020-41BB-B2FA-63FA5A7D8AB5}"/>
              </c:ext>
            </c:extLst>
          </c:dPt>
          <c:dPt>
            <c:idx val="1"/>
            <c:invertIfNegative val="0"/>
            <c:bubble3D val="0"/>
            <c:spPr>
              <a:solidFill>
                <a:schemeClr val="accent6">
                  <a:lumMod val="75000"/>
                </a:schemeClr>
              </a:solidFill>
              <a:ln w="0">
                <a:noFill/>
              </a:ln>
              <a:effectLst>
                <a:glow rad="76200">
                  <a:schemeClr val="accent6">
                    <a:lumMod val="75000"/>
                    <a:alpha val="70000"/>
                  </a:schemeClr>
                </a:glow>
                <a:outerShdw blurRad="50800" dist="50800" dir="5400000" sx="45000" sy="45000" algn="ctr" rotWithShape="0">
                  <a:srgbClr val="0093CE">
                    <a:alpha val="0"/>
                  </a:srgbClr>
                </a:outerShdw>
              </a:effectLst>
            </c:spPr>
            <c:extLst>
              <c:ext xmlns:c16="http://schemas.microsoft.com/office/drawing/2014/chart" uri="{C3380CC4-5D6E-409C-BE32-E72D297353CC}">
                <c16:uniqueId val="{00000001-5020-41BB-B2FA-63FA5A7D8AB5}"/>
              </c:ext>
            </c:extLst>
          </c:dPt>
          <c:dPt>
            <c:idx val="2"/>
            <c:invertIfNegative val="0"/>
            <c:bubble3D val="0"/>
            <c:spPr>
              <a:solidFill>
                <a:schemeClr val="tx2"/>
              </a:solidFill>
              <a:ln w="0">
                <a:noFill/>
              </a:ln>
              <a:effectLst>
                <a:glow rad="76200">
                  <a:schemeClr val="tx2">
                    <a:alpha val="70000"/>
                  </a:schemeClr>
                </a:glow>
                <a:outerShdw blurRad="50800" dist="50800" dir="5400000" sx="45000" sy="45000" algn="ctr" rotWithShape="0">
                  <a:srgbClr val="0093CE">
                    <a:alpha val="0"/>
                  </a:srgbClr>
                </a:outerShdw>
              </a:effectLst>
            </c:spPr>
            <c:extLst>
              <c:ext xmlns:c16="http://schemas.microsoft.com/office/drawing/2014/chart" uri="{C3380CC4-5D6E-409C-BE32-E72D297353CC}">
                <c16:uniqueId val="{00000000-5020-41BB-B2FA-63FA5A7D8AB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Processor'!$Z$30:$Z$34</c:f>
              <c:strCache>
                <c:ptCount val="4"/>
                <c:pt idx="0">
                  <c:v>Lost</c:v>
                </c:pt>
                <c:pt idx="1">
                  <c:v>Pending</c:v>
                </c:pt>
                <c:pt idx="2">
                  <c:v>Rejected</c:v>
                </c:pt>
                <c:pt idx="3">
                  <c:v>Won</c:v>
                </c:pt>
              </c:strCache>
            </c:strRef>
          </c:cat>
          <c:val>
            <c:numRef>
              <c:f>'Data Processor'!$AA$30:$AA$34</c:f>
              <c:numCache>
                <c:formatCode>General</c:formatCode>
                <c:ptCount val="4"/>
                <c:pt idx="0">
                  <c:v>3</c:v>
                </c:pt>
                <c:pt idx="1">
                  <c:v>4</c:v>
                </c:pt>
                <c:pt idx="2">
                  <c:v>6</c:v>
                </c:pt>
                <c:pt idx="3">
                  <c:v>9</c:v>
                </c:pt>
              </c:numCache>
            </c:numRef>
          </c:val>
          <c:extLst>
            <c:ext xmlns:c16="http://schemas.microsoft.com/office/drawing/2014/chart" uri="{C3380CC4-5D6E-409C-BE32-E72D297353CC}">
              <c16:uniqueId val="{00000000-2356-4107-9A3C-D53C027AD489}"/>
            </c:ext>
          </c:extLst>
        </c:ser>
        <c:dLbls>
          <c:showLegendKey val="0"/>
          <c:showVal val="0"/>
          <c:showCatName val="0"/>
          <c:showSerName val="0"/>
          <c:showPercent val="0"/>
          <c:showBubbleSize val="0"/>
        </c:dLbls>
        <c:gapWidth val="150"/>
        <c:overlap val="100"/>
        <c:axId val="285123823"/>
        <c:axId val="285122863"/>
      </c:barChart>
      <c:catAx>
        <c:axId val="28512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22863"/>
        <c:crosses val="autoZero"/>
        <c:auto val="1"/>
        <c:lblAlgn val="ctr"/>
        <c:lblOffset val="100"/>
        <c:noMultiLvlLbl val="0"/>
      </c:catAx>
      <c:valAx>
        <c:axId val="285122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2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'Data Processor'!$AE$29</c:f>
              <c:strCache>
                <c:ptCount val="1"/>
                <c:pt idx="0">
                  <c:v>Won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Processor'!$AD$30:$AD$41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Processor'!$AE$30:$AE$41</c:f>
              <c:numCache>
                <c:formatCode>General</c:formatCode>
                <c:ptCount val="12"/>
                <c:pt idx="0">
                  <c:v>3</c:v>
                </c:pt>
                <c:pt idx="1">
                  <c:v>3</c:v>
                </c:pt>
                <c:pt idx="2">
                  <c:v>0</c:v>
                </c:pt>
                <c:pt idx="3">
                  <c:v>0</c:v>
                </c:pt>
                <c:pt idx="4">
                  <c:v>0</c:v>
                </c:pt>
                <c:pt idx="5">
                  <c:v>0</c:v>
                </c:pt>
                <c:pt idx="6">
                  <c:v>0</c:v>
                </c:pt>
                <c:pt idx="7">
                  <c:v>1</c:v>
                </c:pt>
                <c:pt idx="8">
                  <c:v>0</c:v>
                </c:pt>
                <c:pt idx="9">
                  <c:v>1</c:v>
                </c:pt>
                <c:pt idx="10">
                  <c:v>0</c:v>
                </c:pt>
                <c:pt idx="11">
                  <c:v>1</c:v>
                </c:pt>
              </c:numCache>
            </c:numRef>
          </c:val>
          <c:smooth val="0"/>
          <c:extLst>
            <c:ext xmlns:c16="http://schemas.microsoft.com/office/drawing/2014/chart" uri="{C3380CC4-5D6E-409C-BE32-E72D297353CC}">
              <c16:uniqueId val="{00000000-1115-4E1D-AC44-D3B1E5ED1F08}"/>
            </c:ext>
          </c:extLst>
        </c:ser>
        <c:ser>
          <c:idx val="1"/>
          <c:order val="1"/>
          <c:tx>
            <c:strRef>
              <c:f>'Data Processor'!$AF$29</c:f>
              <c:strCache>
                <c:ptCount val="1"/>
                <c:pt idx="0">
                  <c:v>Lost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Processor'!$AD$30:$AD$41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Processor'!$AF$30:$AF$41</c:f>
              <c:numCache>
                <c:formatCode>General</c:formatCode>
                <c:ptCount val="12"/>
                <c:pt idx="0">
                  <c:v>0</c:v>
                </c:pt>
                <c:pt idx="1">
                  <c:v>1</c:v>
                </c:pt>
                <c:pt idx="2">
                  <c:v>0</c:v>
                </c:pt>
                <c:pt idx="3">
                  <c:v>0</c:v>
                </c:pt>
                <c:pt idx="4">
                  <c:v>1</c:v>
                </c:pt>
                <c:pt idx="5">
                  <c:v>0</c:v>
                </c:pt>
                <c:pt idx="6">
                  <c:v>0</c:v>
                </c:pt>
                <c:pt idx="7">
                  <c:v>0</c:v>
                </c:pt>
                <c:pt idx="8">
                  <c:v>1</c:v>
                </c:pt>
                <c:pt idx="9">
                  <c:v>0</c:v>
                </c:pt>
                <c:pt idx="10">
                  <c:v>0</c:v>
                </c:pt>
                <c:pt idx="11">
                  <c:v>0</c:v>
                </c:pt>
              </c:numCache>
            </c:numRef>
          </c:val>
          <c:smooth val="0"/>
          <c:extLst>
            <c:ext xmlns:c16="http://schemas.microsoft.com/office/drawing/2014/chart" uri="{C3380CC4-5D6E-409C-BE32-E72D297353CC}">
              <c16:uniqueId val="{00000001-1115-4E1D-AC44-D3B1E5ED1F08}"/>
            </c:ext>
          </c:extLst>
        </c:ser>
        <c:ser>
          <c:idx val="2"/>
          <c:order val="2"/>
          <c:tx>
            <c:strRef>
              <c:f>'Data Processor'!$AG$29</c:f>
              <c:strCache>
                <c:ptCount val="1"/>
                <c:pt idx="0">
                  <c:v>Pending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Processor'!$AD$30:$AD$41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Processor'!$AG$30:$AG$41</c:f>
              <c:numCache>
                <c:formatCode>General</c:formatCode>
                <c:ptCount val="12"/>
                <c:pt idx="0">
                  <c:v>1</c:v>
                </c:pt>
                <c:pt idx="1">
                  <c:v>1</c:v>
                </c:pt>
                <c:pt idx="2">
                  <c:v>0</c:v>
                </c:pt>
                <c:pt idx="3">
                  <c:v>1</c:v>
                </c:pt>
                <c:pt idx="4">
                  <c:v>0</c:v>
                </c:pt>
                <c:pt idx="5">
                  <c:v>0</c:v>
                </c:pt>
                <c:pt idx="6">
                  <c:v>1</c:v>
                </c:pt>
                <c:pt idx="7">
                  <c:v>0</c:v>
                </c:pt>
                <c:pt idx="8">
                  <c:v>0</c:v>
                </c:pt>
                <c:pt idx="9">
                  <c:v>0</c:v>
                </c:pt>
                <c:pt idx="10">
                  <c:v>0</c:v>
                </c:pt>
                <c:pt idx="11">
                  <c:v>0</c:v>
                </c:pt>
              </c:numCache>
            </c:numRef>
          </c:val>
          <c:smooth val="0"/>
          <c:extLst>
            <c:ext xmlns:c16="http://schemas.microsoft.com/office/drawing/2014/chart" uri="{C3380CC4-5D6E-409C-BE32-E72D297353CC}">
              <c16:uniqueId val="{00000002-1115-4E1D-AC44-D3B1E5ED1F08}"/>
            </c:ext>
          </c:extLst>
        </c:ser>
        <c:ser>
          <c:idx val="3"/>
          <c:order val="3"/>
          <c:tx>
            <c:strRef>
              <c:f>'Data Processor'!$AH$29</c:f>
              <c:strCache>
                <c:ptCount val="1"/>
                <c:pt idx="0">
                  <c:v>Rejected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Processor'!$AD$30:$AD$41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Processor'!$AH$30:$AH$41</c:f>
              <c:numCache>
                <c:formatCode>General</c:formatCode>
                <c:ptCount val="12"/>
                <c:pt idx="0">
                  <c:v>3</c:v>
                </c:pt>
                <c:pt idx="1">
                  <c:v>0</c:v>
                </c:pt>
                <c:pt idx="2">
                  <c:v>1</c:v>
                </c:pt>
                <c:pt idx="3">
                  <c:v>0</c:v>
                </c:pt>
                <c:pt idx="4">
                  <c:v>0</c:v>
                </c:pt>
                <c:pt idx="5">
                  <c:v>1</c:v>
                </c:pt>
                <c:pt idx="6">
                  <c:v>0</c:v>
                </c:pt>
                <c:pt idx="7">
                  <c:v>0</c:v>
                </c:pt>
                <c:pt idx="8">
                  <c:v>0</c:v>
                </c:pt>
                <c:pt idx="9">
                  <c:v>0</c:v>
                </c:pt>
                <c:pt idx="10">
                  <c:v>1</c:v>
                </c:pt>
                <c:pt idx="11">
                  <c:v>0</c:v>
                </c:pt>
              </c:numCache>
            </c:numRef>
          </c:val>
          <c:smooth val="0"/>
          <c:extLst>
            <c:ext xmlns:c16="http://schemas.microsoft.com/office/drawing/2014/chart" uri="{C3380CC4-5D6E-409C-BE32-E72D297353CC}">
              <c16:uniqueId val="{00000003-1115-4E1D-AC44-D3B1E5ED1F08}"/>
            </c:ext>
          </c:extLst>
        </c:ser>
        <c:dLbls>
          <c:dLblPos val="t"/>
          <c:showLegendKey val="0"/>
          <c:showVal val="1"/>
          <c:showCatName val="0"/>
          <c:showSerName val="0"/>
          <c:showPercent val="0"/>
          <c:showBubbleSize val="0"/>
        </c:dLbls>
        <c:marker val="1"/>
        <c:smooth val="0"/>
        <c:axId val="49736640"/>
        <c:axId val="49737120"/>
      </c:lineChart>
      <c:catAx>
        <c:axId val="4973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37120"/>
        <c:crosses val="autoZero"/>
        <c:auto val="1"/>
        <c:lblAlgn val="ctr"/>
        <c:lblOffset val="100"/>
        <c:noMultiLvlLbl val="0"/>
      </c:catAx>
      <c:valAx>
        <c:axId val="4973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366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[Black_Go_NoGo_System_with_Predictor_14-04-2026 (version 2.0).xlsx]Data Processor!CEO Pie Chart</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'Data Processor'!$AH$7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DA-4789-A5C5-B8375FE042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DA-4789-A5C5-B8375FE042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DA-4789-A5C5-B8375FE0429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Processor'!$AG$8:$AG$11</c:f>
              <c:strCache>
                <c:ptCount val="3"/>
                <c:pt idx="0">
                  <c:v>GO</c:v>
                </c:pt>
                <c:pt idx="1">
                  <c:v>NO GO</c:v>
                </c:pt>
                <c:pt idx="2">
                  <c:v>REVIEW</c:v>
                </c:pt>
              </c:strCache>
            </c:strRef>
          </c:cat>
          <c:val>
            <c:numRef>
              <c:f>'Data Processor'!$AH$8:$AH$11</c:f>
              <c:numCache>
                <c:formatCode>0.00%</c:formatCode>
                <c:ptCount val="3"/>
                <c:pt idx="0">
                  <c:v>0.45454545454545453</c:v>
                </c:pt>
                <c:pt idx="1">
                  <c:v>0.27272727272727271</c:v>
                </c:pt>
                <c:pt idx="2">
                  <c:v>0.27272727272727271</c:v>
                </c:pt>
              </c:numCache>
            </c:numRef>
          </c:val>
          <c:extLst>
            <c:ext xmlns:c16="http://schemas.microsoft.com/office/drawing/2014/chart" uri="{C3380CC4-5D6E-409C-BE32-E72D297353CC}">
              <c16:uniqueId val="{00000006-9FDA-4789-A5C5-B8375FE0429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[Black_Go_NoGo_System_with_Predictor_14-04-2026 (version 2.0).xlsx]Data Processor!CEO Contract &amp; Estimated Value</c:name>
    <c:fmtId val="4"/>
  </c:pivotSource>
  <c:chart>
    <c:autoTitleDeleted val="0"/>
    <c:pivotFmts>
      <c:pivotFmt>
        <c:idx val="0"/>
        <c:spPr>
          <a:solidFill>
            <a:schemeClr val="accent1"/>
          </a:solidFill>
          <a:ln w="28575" cap="rnd">
            <a:solidFill>
              <a:srgbClr val="FF00FF"/>
            </a:solidFill>
            <a:round/>
          </a:ln>
          <a:effectLst>
            <a:outerShdw blurRad="50800" dist="38100" dir="5400000" algn="ctr" rotWithShape="0">
              <a:schemeClr val="tx1">
                <a:lumMod val="50000"/>
                <a:lumOff val="50000"/>
                <a:alpha val="70000"/>
              </a:schemeClr>
            </a:outerShdw>
          </a:effectLst>
        </c:spPr>
        <c:marker>
          <c:symbol val="circle"/>
          <c:size val="5"/>
          <c:spPr>
            <a:solidFill>
              <a:srgbClr val="FF00FF">
                <a:alpha val="0"/>
              </a:srgbClr>
            </a:solidFill>
            <a:ln w="9525">
              <a:noFill/>
            </a:ln>
            <a:effectLst>
              <a:outerShdw blurRad="50800" dist="38100" dir="5400000" algn="ctr" rotWithShape="0">
                <a:schemeClr val="tx1">
                  <a:lumMod val="50000"/>
                  <a:lumOff val="50000"/>
                  <a:alpha val="7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rgbClr val="4C57E0"/>
              </a:gs>
              <a:gs pos="0">
                <a:srgbClr val="9CA5F6"/>
              </a:gs>
            </a:gsLst>
            <a:lin ang="5400000" scaled="1"/>
          </a:gradFill>
          <a:ln w="127000">
            <a:gradFill>
              <a:gsLst>
                <a:gs pos="0">
                  <a:srgbClr val="9CA5F6"/>
                </a:gs>
                <a:gs pos="100000">
                  <a:srgbClr val="4C57E0">
                    <a:lumMod val="96000"/>
                  </a:srgbClr>
                </a:gs>
              </a:gsLst>
              <a:lin ang="5400000" scaled="1"/>
            </a:gradFill>
          </a:ln>
          <a:effectLst>
            <a:glow>
              <a:srgbClr val="4C57E0"/>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4C57E0"/>
              </a:gs>
              <a:gs pos="0">
                <a:srgbClr val="9CA5F6"/>
              </a:gs>
            </a:gsLst>
            <a:lin ang="5400000" scaled="1"/>
          </a:gradFill>
          <a:ln w="127000">
            <a:gradFill>
              <a:gsLst>
                <a:gs pos="0">
                  <a:srgbClr val="9CA5F6"/>
                </a:gs>
                <a:gs pos="100000">
                  <a:srgbClr val="4C57E0">
                    <a:lumMod val="96000"/>
                  </a:srgbClr>
                </a:gs>
              </a:gsLst>
              <a:lin ang="5400000" scaled="1"/>
            </a:gradFill>
          </a:ln>
          <a:effectLst>
            <a:glow>
              <a:srgbClr val="4C57E0"/>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FF"/>
            </a:solidFill>
            <a:round/>
          </a:ln>
          <a:effectLst>
            <a:outerShdw blurRad="50800" dist="38100" dir="5400000" algn="ctr" rotWithShape="0">
              <a:schemeClr val="tx1">
                <a:lumMod val="50000"/>
                <a:lumOff val="50000"/>
                <a:alpha val="70000"/>
              </a:schemeClr>
            </a:outerShdw>
          </a:effectLst>
        </c:spPr>
        <c:marker>
          <c:symbol val="circle"/>
          <c:size val="5"/>
          <c:spPr>
            <a:solidFill>
              <a:srgbClr val="FF00FF">
                <a:alpha val="0"/>
              </a:srgbClr>
            </a:solidFill>
            <a:ln w="9525">
              <a:noFill/>
            </a:ln>
            <a:effectLst>
              <a:outerShdw blurRad="50800" dist="38100" dir="5400000" algn="ctr" rotWithShape="0">
                <a:schemeClr val="tx1">
                  <a:lumMod val="50000"/>
                  <a:lumOff val="50000"/>
                  <a:alpha val="7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rgbClr val="4C57E0"/>
              </a:gs>
              <a:gs pos="0">
                <a:srgbClr val="9CA5F6"/>
              </a:gs>
            </a:gsLst>
            <a:lin ang="5400000" scaled="1"/>
          </a:gradFill>
          <a:ln w="127000">
            <a:gradFill>
              <a:gsLst>
                <a:gs pos="0">
                  <a:srgbClr val="9CA5F6"/>
                </a:gs>
                <a:gs pos="100000">
                  <a:srgbClr val="4C57E0">
                    <a:lumMod val="96000"/>
                  </a:srgbClr>
                </a:gs>
              </a:gsLst>
              <a:lin ang="5400000" scaled="1"/>
            </a:gradFill>
          </a:ln>
          <a:effectLst>
            <a:glow>
              <a:srgbClr val="4C57E0"/>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FF"/>
            </a:solidFill>
            <a:round/>
          </a:ln>
          <a:effectLst>
            <a:outerShdw blurRad="50800" dist="38100" dir="5400000" algn="ctr" rotWithShape="0">
              <a:schemeClr val="tx1">
                <a:lumMod val="50000"/>
                <a:lumOff val="50000"/>
                <a:alpha val="70000"/>
              </a:schemeClr>
            </a:outerShdw>
          </a:effectLst>
        </c:spPr>
        <c:marker>
          <c:symbol val="circle"/>
          <c:size val="5"/>
          <c:spPr>
            <a:solidFill>
              <a:srgbClr val="FF00FF">
                <a:alpha val="0"/>
              </a:srgbClr>
            </a:solidFill>
            <a:ln w="9525">
              <a:noFill/>
            </a:ln>
            <a:effectLst>
              <a:outerShdw blurRad="50800" dist="38100" dir="5400000" algn="ctr" rotWithShape="0">
                <a:schemeClr val="tx1">
                  <a:lumMod val="50000"/>
                  <a:lumOff val="50000"/>
                  <a:alpha val="7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'Data Processor'!$AB$10</c:f>
              <c:strCache>
                <c:ptCount val="1"/>
                <c:pt idx="0">
                  <c:v>Sum of Estimated Value</c:v>
                </c:pt>
              </c:strCache>
            </c:strRef>
          </c:tx>
          <c:spPr>
            <a:gradFill>
              <a:gsLst>
                <a:gs pos="100000">
                  <a:srgbClr val="4C57E0"/>
                </a:gs>
                <a:gs pos="0">
                  <a:srgbClr val="9CA5F6"/>
                </a:gs>
              </a:gsLst>
              <a:lin ang="5400000" scaled="1"/>
            </a:gradFill>
            <a:ln w="127000">
              <a:gradFill>
                <a:gsLst>
                  <a:gs pos="0">
                    <a:srgbClr val="9CA5F6"/>
                  </a:gs>
                  <a:gs pos="100000">
                    <a:srgbClr val="4C57E0">
                      <a:lumMod val="96000"/>
                    </a:srgbClr>
                  </a:gs>
                </a:gsLst>
                <a:lin ang="5400000" scaled="1"/>
              </a:gradFill>
            </a:ln>
            <a:effectLst>
              <a:glow>
                <a:srgbClr val="4C57E0"/>
              </a:glow>
            </a:effectLst>
          </c:spPr>
          <c:invertIfNegative val="0"/>
          <c:cat>
            <c:strRef>
              <c:f>'Data Processor'!$Z$11:$Z$23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Processor'!$AB$11:$AB$23</c:f>
              <c:numCache>
                <c:formatCode>[$SAR]\ #,##0_);[Red]\([$SAR]\ #,##0\)</c:formatCode>
                <c:ptCount val="12"/>
                <c:pt idx="0">
                  <c:v>15800000</c:v>
                </c:pt>
                <c:pt idx="1">
                  <c:v>18804000</c:v>
                </c:pt>
                <c:pt idx="2">
                  <c:v>900000</c:v>
                </c:pt>
                <c:pt idx="3">
                  <c:v>6540000</c:v>
                </c:pt>
                <c:pt idx="4">
                  <c:v>2000000</c:v>
                </c:pt>
                <c:pt idx="5">
                  <c:v>9000000</c:v>
                </c:pt>
                <c:pt idx="6">
                  <c:v>8000000</c:v>
                </c:pt>
                <c:pt idx="7">
                  <c:v>6500000</c:v>
                </c:pt>
                <c:pt idx="8">
                  <c:v>3000000</c:v>
                </c:pt>
                <c:pt idx="9">
                  <c:v>1000000</c:v>
                </c:pt>
                <c:pt idx="10">
                  <c:v>3000000</c:v>
                </c:pt>
                <c:pt idx="11">
                  <c:v>660000</c:v>
                </c:pt>
              </c:numCache>
            </c:numRef>
          </c:val>
          <c:extLst>
            <c:ext xmlns:c16="http://schemas.microsoft.com/office/drawing/2014/chart" uri="{C3380CC4-5D6E-409C-BE32-E72D297353CC}">
              <c16:uniqueId val="{00000000-CB2C-49FC-8EAC-10EB1276D934}"/>
            </c:ext>
          </c:extLst>
        </c:ser>
        <c:dLbls>
          <c:showLegendKey val="0"/>
          <c:showVal val="0"/>
          <c:showCatName val="0"/>
          <c:showSerName val="0"/>
          <c:showPercent val="0"/>
          <c:showBubbleSize val="0"/>
        </c:dLbls>
        <c:gapWidth val="320"/>
        <c:overlap val="100"/>
        <c:axId val="336846848"/>
        <c:axId val="336847808"/>
      </c:barChart>
      <c:lineChart>
        <c:grouping val="standard"/>
        <c:varyColors val="0"/>
        <c:ser>
          <c:idx val="0"/>
          <c:order val="0"/>
          <c:tx>
            <c:strRef>
              <c:f>'Data Processor'!$AA$10</c:f>
              <c:strCache>
                <c:ptCount val="1"/>
                <c:pt idx="0">
                  <c:v>Sum of Contract Value</c:v>
                </c:pt>
              </c:strCache>
            </c:strRef>
          </c:tx>
          <c:spPr>
            <a:ln w="28575" cap="rnd">
              <a:solidFill>
                <a:srgbClr val="FF00FF"/>
              </a:solidFill>
              <a:round/>
            </a:ln>
            <a:effectLst>
              <a:outerShdw blurRad="50800" dist="38100" dir="5400000" algn="ctr" rotWithShape="0">
                <a:schemeClr val="tx1">
                  <a:lumMod val="50000"/>
                  <a:lumOff val="50000"/>
                  <a:alpha val="70000"/>
                </a:schemeClr>
              </a:outerShdw>
            </a:effectLst>
          </c:spPr>
          <c:marker>
            <c:symbol val="circle"/>
            <c:size val="5"/>
            <c:spPr>
              <a:solidFill>
                <a:srgbClr val="FF00FF">
                  <a:alpha val="0"/>
                </a:srgbClr>
              </a:solidFill>
              <a:ln w="9525">
                <a:noFill/>
              </a:ln>
              <a:effectLst>
                <a:outerShdw blurRad="50800" dist="38100" dir="5400000" algn="ctr" rotWithShape="0">
                  <a:schemeClr val="tx1">
                    <a:lumMod val="50000"/>
                    <a:lumOff val="50000"/>
                    <a:alpha val="70000"/>
                  </a:schemeClr>
                </a:outerShdw>
              </a:effectLst>
            </c:spPr>
          </c:marker>
          <c:cat>
            <c:strRef>
              <c:f>'Data Processor'!$Z$11:$Z$23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Processor'!$AA$11:$AA$23</c:f>
              <c:numCache>
                <c:formatCode>[$SAR]\ #,##0_);[Red]\([$SAR]\ #,##0\)</c:formatCode>
                <c:ptCount val="12"/>
                <c:pt idx="0">
                  <c:v>14000000</c:v>
                </c:pt>
                <c:pt idx="1">
                  <c:v>17444000</c:v>
                </c:pt>
                <c:pt idx="2">
                  <c:v>677000</c:v>
                </c:pt>
                <c:pt idx="3">
                  <c:v>6340000</c:v>
                </c:pt>
                <c:pt idx="4">
                  <c:v>1800000</c:v>
                </c:pt>
                <c:pt idx="5">
                  <c:v>2800000</c:v>
                </c:pt>
                <c:pt idx="6">
                  <c:v>4500000</c:v>
                </c:pt>
                <c:pt idx="7">
                  <c:v>3500000</c:v>
                </c:pt>
                <c:pt idx="8">
                  <c:v>2800000</c:v>
                </c:pt>
                <c:pt idx="9">
                  <c:v>200000</c:v>
                </c:pt>
                <c:pt idx="10">
                  <c:v>2800000</c:v>
                </c:pt>
                <c:pt idx="11">
                  <c:v>500000</c:v>
                </c:pt>
              </c:numCache>
            </c:numRef>
          </c:val>
          <c:smooth val="1"/>
          <c:extLst>
            <c:ext xmlns:c16="http://schemas.microsoft.com/office/drawing/2014/chart" uri="{C3380CC4-5D6E-409C-BE32-E72D297353CC}">
              <c16:uniqueId val="{00000001-CB2C-49FC-8EAC-10EB1276D934}"/>
            </c:ext>
          </c:extLst>
        </c:ser>
        <c:dLbls>
          <c:showLegendKey val="0"/>
          <c:showVal val="0"/>
          <c:showCatName val="0"/>
          <c:showSerName val="0"/>
          <c:showPercent val="0"/>
          <c:showBubbleSize val="0"/>
        </c:dLbls>
        <c:marker val="1"/>
        <c:smooth val="0"/>
        <c:axId val="336846848"/>
        <c:axId val="336847808"/>
      </c:lineChart>
      <c:catAx>
        <c:axId val="33684684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6847808"/>
        <c:crosses val="autoZero"/>
        <c:auto val="1"/>
        <c:lblAlgn val="ctr"/>
        <c:lblOffset val="100"/>
        <c:noMultiLvlLbl val="0"/>
      </c:catAx>
      <c:valAx>
        <c:axId val="336847808"/>
        <c:scaling>
          <c:orientation val="minMax"/>
        </c:scaling>
        <c:delete val="1"/>
        <c:axPos val="l"/>
        <c:majorGridlines>
          <c:spPr>
            <a:ln w="9525" cap="flat" cmpd="sng" algn="ctr">
              <a:solidFill>
                <a:schemeClr val="bg1">
                  <a:lumMod val="85000"/>
                </a:schemeClr>
              </a:solidFill>
              <a:round/>
            </a:ln>
            <a:effectLst/>
          </c:spPr>
        </c:majorGridlines>
        <c:numFmt formatCode="[$SAR]\ #,##0_);[Red]\([$SAR]\ #,##0\)" sourceLinked="1"/>
        <c:majorTickMark val="out"/>
        <c:minorTickMark val="none"/>
        <c:tickLblPos val="nextTo"/>
        <c:crossAx val="3368468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4.png"/><Relationship Id="rId1" Type="http://schemas.microsoft.com/office/2011/relationships/webextension" Target="../webextensions/webextension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12.png"/><Relationship Id="rId18" Type="http://schemas.openxmlformats.org/officeDocument/2006/relationships/image" Target="../media/image17.svg"/><Relationship Id="rId3" Type="http://schemas.openxmlformats.org/officeDocument/2006/relationships/image" Target="../media/image6.png"/><Relationship Id="rId21" Type="http://schemas.openxmlformats.org/officeDocument/2006/relationships/chart" Target="../charts/chart8.xml"/><Relationship Id="rId7" Type="http://schemas.openxmlformats.org/officeDocument/2006/relationships/chart" Target="../charts/chart2.xml"/><Relationship Id="rId12" Type="http://schemas.openxmlformats.org/officeDocument/2006/relationships/image" Target="../media/image11.svg"/><Relationship Id="rId17" Type="http://schemas.openxmlformats.org/officeDocument/2006/relationships/image" Target="../media/image16.png"/><Relationship Id="rId2" Type="http://schemas.openxmlformats.org/officeDocument/2006/relationships/image" Target="../media/image5.png"/><Relationship Id="rId16" Type="http://schemas.openxmlformats.org/officeDocument/2006/relationships/image" Target="../media/image15.svg"/><Relationship Id="rId20" Type="http://schemas.openxmlformats.org/officeDocument/2006/relationships/chart" Target="../charts/chart7.xml"/><Relationship Id="rId1" Type="http://schemas.openxmlformats.org/officeDocument/2006/relationships/chart" Target="../charts/chart1.xml"/><Relationship Id="rId6" Type="http://schemas.openxmlformats.org/officeDocument/2006/relationships/image" Target="../media/image9.svg"/><Relationship Id="rId11" Type="http://schemas.openxmlformats.org/officeDocument/2006/relationships/image" Target="../media/image10.png"/><Relationship Id="rId5" Type="http://schemas.openxmlformats.org/officeDocument/2006/relationships/image" Target="../media/image8.png"/><Relationship Id="rId15" Type="http://schemas.openxmlformats.org/officeDocument/2006/relationships/image" Target="../media/image14.png"/><Relationship Id="rId10" Type="http://schemas.openxmlformats.org/officeDocument/2006/relationships/chart" Target="../charts/chart5.xml"/><Relationship Id="rId19" Type="http://schemas.openxmlformats.org/officeDocument/2006/relationships/chart" Target="../charts/chart6.xml"/><Relationship Id="rId4" Type="http://schemas.openxmlformats.org/officeDocument/2006/relationships/image" Target="../media/image7.svg"/><Relationship Id="rId9" Type="http://schemas.openxmlformats.org/officeDocument/2006/relationships/chart" Target="../charts/chart4.xml"/><Relationship Id="rId14" Type="http://schemas.openxmlformats.org/officeDocument/2006/relationships/image" Target="../media/image13.svg"/><Relationship Id="rId22"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microsoft.com/office/2007/relationships/hdphoto" Target="../media/hdphoto1.wdp"/><Relationship Id="rId1" Type="http://schemas.openxmlformats.org/officeDocument/2006/relationships/image" Target="../media/image18.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xdr:col>
      <xdr:colOff>762000</xdr:colOff>
      <xdr:row>33</xdr:row>
      <xdr:rowOff>104775</xdr:rowOff>
    </xdr:from>
    <xdr:to>
      <xdr:col>10</xdr:col>
      <xdr:colOff>838200</xdr:colOff>
      <xdr:row>41</xdr:row>
      <xdr:rowOff>219075</xdr:rowOff>
    </xdr:to>
    <mc:AlternateContent xmlns:mc="http://schemas.openxmlformats.org/markup-compatibility/2006">
      <mc:Choice xmlns:we="http://schemas.microsoft.com/office/webextensions/webextension/2010/11" Requires="we">
        <xdr:graphicFrame macro="">
          <xdr:nvGraphicFramePr>
            <xdr:cNvPr id="2" name="Add-in 1" title="Mini Calendar and Date Picker">
              <a:extLst>
                <a:ext uri="{FF2B5EF4-FFF2-40B4-BE49-F238E27FC236}">
                  <a16:creationId xmlns:a16="http://schemas.microsoft.com/office/drawing/2014/main" id="{50B19C31-4B45-B732-01D6-BA0A775773D0}"/>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title="Mini Calendar and Date Picker">
              <a:extLst>
                <a:ext uri="{FF2B5EF4-FFF2-40B4-BE49-F238E27FC236}">
                  <a16:creationId xmlns:a16="http://schemas.microsoft.com/office/drawing/2014/main" id="{50B19C31-4B45-B732-01D6-BA0A775773D0}"/>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46</xdr:col>
      <xdr:colOff>247650</xdr:colOff>
      <xdr:row>84</xdr:row>
      <xdr:rowOff>19050</xdr:rowOff>
    </xdr:to>
    <xdr:sp macro="" textlink="">
      <xdr:nvSpPr>
        <xdr:cNvPr id="17" name="Rectangle 16">
          <a:extLst>
            <a:ext uri="{FF2B5EF4-FFF2-40B4-BE49-F238E27FC236}">
              <a16:creationId xmlns:a16="http://schemas.microsoft.com/office/drawing/2014/main" id="{06556915-CAC9-4718-8131-926E2F40623C}"/>
            </a:ext>
          </a:extLst>
        </xdr:cNvPr>
        <xdr:cNvSpPr/>
      </xdr:nvSpPr>
      <xdr:spPr>
        <a:xfrm>
          <a:off x="0" y="0"/>
          <a:ext cx="33108900" cy="19221450"/>
        </a:xfrm>
        <a:prstGeom prst="rect">
          <a:avLst/>
        </a:prstGeom>
        <a:gradFill flip="none" rotWithShape="1">
          <a:gsLst>
            <a:gs pos="19000">
              <a:schemeClr val="tx1">
                <a:lumMod val="95000"/>
                <a:lumOff val="5000"/>
              </a:schemeClr>
            </a:gs>
            <a:gs pos="100000">
              <a:schemeClr val="bg2">
                <a:lumMod val="90000"/>
              </a:scheme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65</xdr:col>
      <xdr:colOff>710026</xdr:colOff>
      <xdr:row>20</xdr:row>
      <xdr:rowOff>115749</xdr:rowOff>
    </xdr:from>
    <xdr:to>
      <xdr:col>69</xdr:col>
      <xdr:colOff>370025</xdr:colOff>
      <xdr:row>33</xdr:row>
      <xdr:rowOff>1449</xdr:rowOff>
    </xdr:to>
    <xdr:graphicFrame macro="">
      <xdr:nvGraphicFramePr>
        <xdr:cNvPr id="4" name="Chart 1">
          <a:extLst>
            <a:ext uri="{FF2B5EF4-FFF2-40B4-BE49-F238E27FC236}">
              <a16:creationId xmlns:a16="http://schemas.microsoft.com/office/drawing/2014/main" id="{14404A5D-100C-EB0B-C70D-7A0C0829D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0</xdr:row>
      <xdr:rowOff>95250</xdr:rowOff>
    </xdr:from>
    <xdr:to>
      <xdr:col>29</xdr:col>
      <xdr:colOff>66674</xdr:colOff>
      <xdr:row>45</xdr:row>
      <xdr:rowOff>85725</xdr:rowOff>
    </xdr:to>
    <xdr:sp macro="" textlink="">
      <xdr:nvSpPr>
        <xdr:cNvPr id="6" name="Rectangle: Rounded Corners 5">
          <a:extLst>
            <a:ext uri="{FF2B5EF4-FFF2-40B4-BE49-F238E27FC236}">
              <a16:creationId xmlns:a16="http://schemas.microsoft.com/office/drawing/2014/main" id="{57022342-2AE4-E733-453F-CC461D41ACC9}"/>
            </a:ext>
          </a:extLst>
        </xdr:cNvPr>
        <xdr:cNvSpPr/>
      </xdr:nvSpPr>
      <xdr:spPr>
        <a:xfrm>
          <a:off x="190500" y="95250"/>
          <a:ext cx="20593049" cy="10277475"/>
        </a:xfrm>
        <a:prstGeom prst="roundRect">
          <a:avLst>
            <a:gd name="adj" fmla="val 3282"/>
          </a:avLst>
        </a:prstGeom>
        <a:gradFill flip="none" rotWithShape="1">
          <a:gsLst>
            <a:gs pos="0">
              <a:schemeClr val="tx1">
                <a:lumMod val="85000"/>
                <a:lumOff val="15000"/>
              </a:schemeClr>
            </a:gs>
            <a:gs pos="100000">
              <a:schemeClr val="tx1">
                <a:lumMod val="95000"/>
                <a:lumOff val="5000"/>
              </a:schemeClr>
            </a:gs>
          </a:gsLst>
          <a:lin ang="8100000" scaled="0"/>
          <a:tileRect/>
        </a:gradFill>
        <a:ln w="50800">
          <a:gradFill>
            <a:gsLst>
              <a:gs pos="0">
                <a:schemeClr val="tx1">
                  <a:lumMod val="75000"/>
                  <a:lumOff val="25000"/>
                </a:schemeClr>
              </a:gs>
              <a:gs pos="100000">
                <a:schemeClr val="tx1">
                  <a:lumMod val="75000"/>
                  <a:lumOff val="25000"/>
                </a:schemeClr>
              </a:gs>
            </a:gsLst>
            <a:lin ang="5400000" scaled="1"/>
          </a:gradFill>
        </a:ln>
        <a:effectLst>
          <a:glow rad="228600">
            <a:schemeClr val="tx1">
              <a:alpha val="40000"/>
            </a:schemeClr>
          </a:glow>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368510</xdr:colOff>
      <xdr:row>1</xdr:row>
      <xdr:rowOff>62897</xdr:rowOff>
    </xdr:from>
    <xdr:to>
      <xdr:col>28</xdr:col>
      <xdr:colOff>581024</xdr:colOff>
      <xdr:row>5</xdr:row>
      <xdr:rowOff>152400</xdr:rowOff>
    </xdr:to>
    <xdr:sp macro="" textlink="">
      <xdr:nvSpPr>
        <xdr:cNvPr id="8" name="Rectangle: Rounded Corners 7">
          <a:extLst>
            <a:ext uri="{FF2B5EF4-FFF2-40B4-BE49-F238E27FC236}">
              <a16:creationId xmlns:a16="http://schemas.microsoft.com/office/drawing/2014/main" id="{7AD47726-F8EF-43AE-BE90-C81F4113823F}"/>
            </a:ext>
          </a:extLst>
        </xdr:cNvPr>
        <xdr:cNvSpPr/>
      </xdr:nvSpPr>
      <xdr:spPr>
        <a:xfrm>
          <a:off x="368510" y="291497"/>
          <a:ext cx="20215014" cy="1003903"/>
        </a:xfrm>
        <a:prstGeom prst="roundRect">
          <a:avLst>
            <a:gd name="adj" fmla="val 21518"/>
          </a:avLst>
        </a:prstGeom>
        <a:gradFill flip="none" rotWithShape="1">
          <a:gsLst>
            <a:gs pos="0">
              <a:schemeClr val="tx1">
                <a:lumMod val="85000"/>
                <a:lumOff val="15000"/>
              </a:schemeClr>
            </a:gs>
            <a:gs pos="100000">
              <a:schemeClr val="tx1">
                <a:lumMod val="95000"/>
                <a:lumOff val="5000"/>
              </a:schemeClr>
            </a:gs>
          </a:gsLst>
          <a:lin ang="2700000" scaled="1"/>
          <a:tileRect/>
        </a:gradFill>
        <a:ln w="50800">
          <a:gradFill>
            <a:gsLst>
              <a:gs pos="0">
                <a:schemeClr val="tx1">
                  <a:lumMod val="75000"/>
                  <a:lumOff val="25000"/>
                </a:schemeClr>
              </a:gs>
              <a:gs pos="100000">
                <a:schemeClr val="tx1">
                  <a:lumMod val="75000"/>
                  <a:lumOff val="25000"/>
                </a:schemeClr>
              </a:gs>
            </a:gsLst>
            <a:lin ang="5400000" scaled="1"/>
          </a:gradFill>
        </a:ln>
        <a:effectLst>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ADLaM Display" panose="02010000000000000000" pitchFamily="2" charset="0"/>
              <a:ea typeface="ADLaM Display" panose="02010000000000000000" pitchFamily="2" charset="0"/>
              <a:cs typeface="ADLaM Display" panose="02010000000000000000" pitchFamily="2" charset="0"/>
            </a:rPr>
            <a:t>B I D     E V A L U A T I O N</a:t>
          </a:r>
          <a:r>
            <a:rPr lang="en-US" sz="2800" b="1" baseline="0">
              <a:latin typeface="ADLaM Display" panose="02010000000000000000" pitchFamily="2" charset="0"/>
              <a:ea typeface="ADLaM Display" panose="02010000000000000000" pitchFamily="2" charset="0"/>
              <a:cs typeface="ADLaM Display" panose="02010000000000000000" pitchFamily="2" charset="0"/>
            </a:rPr>
            <a:t>      D A S H B O A R D</a:t>
          </a:r>
          <a:endParaRPr lang="en-US" sz="28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0</xdr:col>
      <xdr:colOff>368510</xdr:colOff>
      <xdr:row>9</xdr:row>
      <xdr:rowOff>95250</xdr:rowOff>
    </xdr:from>
    <xdr:to>
      <xdr:col>5</xdr:col>
      <xdr:colOff>47145</xdr:colOff>
      <xdr:row>14</xdr:row>
      <xdr:rowOff>31971</xdr:rowOff>
    </xdr:to>
    <xdr:sp macro="" textlink="">
      <xdr:nvSpPr>
        <xdr:cNvPr id="9" name="Rectangle: Rounded Corners 8">
          <a:extLst>
            <a:ext uri="{FF2B5EF4-FFF2-40B4-BE49-F238E27FC236}">
              <a16:creationId xmlns:a16="http://schemas.microsoft.com/office/drawing/2014/main" id="{BB23B4BB-C29B-48DA-B1D4-D560B3F7C345}"/>
            </a:ext>
          </a:extLst>
        </xdr:cNvPr>
        <xdr:cNvSpPr/>
      </xdr:nvSpPr>
      <xdr:spPr>
        <a:xfrm>
          <a:off x="368510" y="2152650"/>
          <a:ext cx="3250510" cy="1079721"/>
        </a:xfrm>
        <a:prstGeom prst="roundRect">
          <a:avLst>
            <a:gd name="adj" fmla="val 15825"/>
          </a:avLst>
        </a:prstGeom>
        <a:gradFill flip="none" rotWithShape="1">
          <a:gsLst>
            <a:gs pos="0">
              <a:schemeClr val="tx1">
                <a:lumMod val="85000"/>
                <a:lumOff val="15000"/>
              </a:schemeClr>
            </a:gs>
            <a:gs pos="100000">
              <a:schemeClr val="tx1">
                <a:lumMod val="95000"/>
                <a:lumOff val="5000"/>
              </a:schemeClr>
            </a:gs>
          </a:gsLst>
          <a:lin ang="2700000" scaled="1"/>
          <a:tileRect/>
        </a:gradFill>
        <a:ln w="50800">
          <a:gradFill>
            <a:gsLst>
              <a:gs pos="0">
                <a:schemeClr val="tx1">
                  <a:lumMod val="75000"/>
                  <a:lumOff val="25000"/>
                </a:schemeClr>
              </a:gs>
              <a:gs pos="100000">
                <a:schemeClr val="tx1">
                  <a:lumMod val="75000"/>
                  <a:lumOff val="25000"/>
                </a:schemeClr>
              </a:gs>
            </a:gsLst>
            <a:lin ang="5400000" scaled="1"/>
          </a:gradFill>
        </a:ln>
        <a:effectLst>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Georgia" panose="02040502050405020303" pitchFamily="18" charset="0"/>
            </a:rPr>
            <a:t>TOTAL PROJECTS.</a:t>
          </a:r>
        </a:p>
      </xdr:txBody>
    </xdr:sp>
    <xdr:clientData/>
  </xdr:twoCellAnchor>
  <xdr:twoCellAnchor>
    <xdr:from>
      <xdr:col>14</xdr:col>
      <xdr:colOff>83520</xdr:colOff>
      <xdr:row>9</xdr:row>
      <xdr:rowOff>95250</xdr:rowOff>
    </xdr:from>
    <xdr:to>
      <xdr:col>18</xdr:col>
      <xdr:colOff>146046</xdr:colOff>
      <xdr:row>14</xdr:row>
      <xdr:rowOff>31971</xdr:rowOff>
    </xdr:to>
    <xdr:sp macro="" textlink="">
      <xdr:nvSpPr>
        <xdr:cNvPr id="18" name="Rectangle: Rounded Corners 17">
          <a:extLst>
            <a:ext uri="{FF2B5EF4-FFF2-40B4-BE49-F238E27FC236}">
              <a16:creationId xmlns:a16="http://schemas.microsoft.com/office/drawing/2014/main" id="{58C733F7-6202-47F8-B9E3-00ABB12C880D}"/>
            </a:ext>
          </a:extLst>
        </xdr:cNvPr>
        <xdr:cNvSpPr/>
      </xdr:nvSpPr>
      <xdr:spPr>
        <a:xfrm>
          <a:off x="10084770" y="2152650"/>
          <a:ext cx="2920026" cy="1079721"/>
        </a:xfrm>
        <a:prstGeom prst="roundRect">
          <a:avLst>
            <a:gd name="adj" fmla="val 15825"/>
          </a:avLst>
        </a:prstGeom>
        <a:gradFill flip="none" rotWithShape="1">
          <a:gsLst>
            <a:gs pos="0">
              <a:schemeClr val="tx1">
                <a:lumMod val="85000"/>
                <a:lumOff val="15000"/>
              </a:schemeClr>
            </a:gs>
            <a:gs pos="100000">
              <a:schemeClr val="tx1">
                <a:lumMod val="95000"/>
                <a:lumOff val="5000"/>
              </a:schemeClr>
            </a:gs>
          </a:gsLst>
          <a:lin ang="2700000" scaled="1"/>
          <a:tileRect/>
        </a:gradFill>
        <a:ln w="50800">
          <a:gradFill>
            <a:gsLst>
              <a:gs pos="0">
                <a:schemeClr val="tx1">
                  <a:lumMod val="75000"/>
                  <a:lumOff val="25000"/>
                </a:schemeClr>
              </a:gs>
              <a:gs pos="100000">
                <a:schemeClr val="tx1">
                  <a:lumMod val="75000"/>
                  <a:lumOff val="25000"/>
                </a:schemeClr>
              </a:gs>
            </a:gsLst>
            <a:lin ang="5400000" scaled="1"/>
          </a:gradFill>
        </a:ln>
        <a:effectLst>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Georgia" panose="02040502050405020303" pitchFamily="18" charset="0"/>
            </a:rPr>
            <a:t>AVERAGE WIN %</a:t>
          </a:r>
        </a:p>
      </xdr:txBody>
    </xdr:sp>
    <xdr:clientData/>
  </xdr:twoCellAnchor>
  <xdr:twoCellAnchor>
    <xdr:from>
      <xdr:col>5</xdr:col>
      <xdr:colOff>224950</xdr:colOff>
      <xdr:row>9</xdr:row>
      <xdr:rowOff>95250</xdr:rowOff>
    </xdr:from>
    <xdr:to>
      <xdr:col>9</xdr:col>
      <xdr:colOff>333618</xdr:colOff>
      <xdr:row>14</xdr:row>
      <xdr:rowOff>31971</xdr:rowOff>
    </xdr:to>
    <xdr:sp macro="" textlink="">
      <xdr:nvSpPr>
        <xdr:cNvPr id="11" name="Rectangle: Rounded Corners 10">
          <a:extLst>
            <a:ext uri="{FF2B5EF4-FFF2-40B4-BE49-F238E27FC236}">
              <a16:creationId xmlns:a16="http://schemas.microsoft.com/office/drawing/2014/main" id="{BE763F0D-AC2D-4545-A84E-637EA2B07977}"/>
            </a:ext>
          </a:extLst>
        </xdr:cNvPr>
        <xdr:cNvSpPr/>
      </xdr:nvSpPr>
      <xdr:spPr>
        <a:xfrm>
          <a:off x="3796825" y="2152650"/>
          <a:ext cx="2966168" cy="1079721"/>
        </a:xfrm>
        <a:prstGeom prst="roundRect">
          <a:avLst>
            <a:gd name="adj" fmla="val 15825"/>
          </a:avLst>
        </a:prstGeom>
        <a:gradFill flip="none" rotWithShape="1">
          <a:gsLst>
            <a:gs pos="0">
              <a:schemeClr val="tx1">
                <a:lumMod val="85000"/>
                <a:lumOff val="15000"/>
              </a:schemeClr>
            </a:gs>
            <a:gs pos="100000">
              <a:schemeClr val="tx1">
                <a:lumMod val="95000"/>
                <a:lumOff val="5000"/>
              </a:schemeClr>
            </a:gs>
          </a:gsLst>
          <a:lin ang="2700000" scaled="1"/>
          <a:tileRect/>
        </a:gradFill>
        <a:ln w="50800">
          <a:gradFill>
            <a:gsLst>
              <a:gs pos="0">
                <a:schemeClr val="tx1">
                  <a:lumMod val="75000"/>
                  <a:lumOff val="25000"/>
                </a:schemeClr>
              </a:gs>
              <a:gs pos="100000">
                <a:schemeClr val="tx1">
                  <a:lumMod val="75000"/>
                  <a:lumOff val="25000"/>
                </a:schemeClr>
              </a:gs>
            </a:gsLst>
            <a:lin ang="5400000" scaled="1"/>
          </a:gradFill>
        </a:ln>
        <a:effectLst>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Georgia" panose="02040502050405020303" pitchFamily="18" charset="0"/>
            </a:rPr>
            <a:t>GO PROJECTS.</a:t>
          </a:r>
        </a:p>
      </xdr:txBody>
    </xdr:sp>
    <xdr:clientData/>
  </xdr:twoCellAnchor>
  <xdr:twoCellAnchor>
    <xdr:from>
      <xdr:col>18</xdr:col>
      <xdr:colOff>323850</xdr:colOff>
      <xdr:row>9</xdr:row>
      <xdr:rowOff>95250</xdr:rowOff>
    </xdr:from>
    <xdr:to>
      <xdr:col>23</xdr:col>
      <xdr:colOff>285751</xdr:colOff>
      <xdr:row>14</xdr:row>
      <xdr:rowOff>31971</xdr:rowOff>
    </xdr:to>
    <xdr:sp macro="" textlink="">
      <xdr:nvSpPr>
        <xdr:cNvPr id="19" name="Rectangle: Rounded Corners 18">
          <a:extLst>
            <a:ext uri="{FF2B5EF4-FFF2-40B4-BE49-F238E27FC236}">
              <a16:creationId xmlns:a16="http://schemas.microsoft.com/office/drawing/2014/main" id="{12E256F3-B7F3-4036-A659-8C3245D69142}"/>
            </a:ext>
          </a:extLst>
        </xdr:cNvPr>
        <xdr:cNvSpPr/>
      </xdr:nvSpPr>
      <xdr:spPr>
        <a:xfrm>
          <a:off x="13182600" y="2152650"/>
          <a:ext cx="3533776" cy="1079721"/>
        </a:xfrm>
        <a:prstGeom prst="roundRect">
          <a:avLst>
            <a:gd name="adj" fmla="val 15825"/>
          </a:avLst>
        </a:prstGeom>
        <a:gradFill flip="none" rotWithShape="1">
          <a:gsLst>
            <a:gs pos="0">
              <a:schemeClr val="tx1">
                <a:lumMod val="85000"/>
                <a:lumOff val="15000"/>
              </a:schemeClr>
            </a:gs>
            <a:gs pos="100000">
              <a:schemeClr val="tx1">
                <a:lumMod val="95000"/>
                <a:lumOff val="5000"/>
              </a:schemeClr>
            </a:gs>
          </a:gsLst>
          <a:lin ang="2700000" scaled="1"/>
          <a:tileRect/>
        </a:gradFill>
        <a:ln w="50800">
          <a:gradFill>
            <a:gsLst>
              <a:gs pos="0">
                <a:schemeClr val="tx1">
                  <a:lumMod val="75000"/>
                  <a:lumOff val="25000"/>
                </a:schemeClr>
              </a:gs>
              <a:gs pos="100000">
                <a:schemeClr val="tx1">
                  <a:lumMod val="75000"/>
                  <a:lumOff val="25000"/>
                </a:schemeClr>
              </a:gs>
            </a:gsLst>
            <a:lin ang="5400000" scaled="1"/>
          </a:gradFill>
        </a:ln>
        <a:effectLst>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Georgia" panose="02040502050405020303" pitchFamily="18" charset="0"/>
            </a:rPr>
            <a:t>HIGH RISK COUNT.  (PROJECTS)</a:t>
          </a:r>
        </a:p>
      </xdr:txBody>
    </xdr:sp>
    <xdr:clientData/>
  </xdr:twoCellAnchor>
  <xdr:twoCellAnchor>
    <xdr:from>
      <xdr:col>23</xdr:col>
      <xdr:colOff>416189</xdr:colOff>
      <xdr:row>9</xdr:row>
      <xdr:rowOff>104394</xdr:rowOff>
    </xdr:from>
    <xdr:to>
      <xdr:col>26</xdr:col>
      <xdr:colOff>227198</xdr:colOff>
      <xdr:row>44</xdr:row>
      <xdr:rowOff>104394</xdr:rowOff>
    </xdr:to>
    <xdr:sp macro="" textlink="">
      <xdr:nvSpPr>
        <xdr:cNvPr id="20" name="Rectangle: Rounded Corners 19">
          <a:extLst>
            <a:ext uri="{FF2B5EF4-FFF2-40B4-BE49-F238E27FC236}">
              <a16:creationId xmlns:a16="http://schemas.microsoft.com/office/drawing/2014/main" id="{B88BD81E-A7EC-47F1-AE94-486356E5F7A7}"/>
            </a:ext>
          </a:extLst>
        </xdr:cNvPr>
        <xdr:cNvSpPr/>
      </xdr:nvSpPr>
      <xdr:spPr>
        <a:xfrm>
          <a:off x="16846814" y="2161794"/>
          <a:ext cx="1954134" cy="8001000"/>
        </a:xfrm>
        <a:prstGeom prst="roundRect">
          <a:avLst>
            <a:gd name="adj" fmla="val 9664"/>
          </a:avLst>
        </a:prstGeom>
        <a:gradFill flip="none" rotWithShape="1">
          <a:gsLst>
            <a:gs pos="100000">
              <a:schemeClr val="tx1">
                <a:lumMod val="85000"/>
                <a:lumOff val="15000"/>
              </a:schemeClr>
            </a:gs>
            <a:gs pos="100000">
              <a:schemeClr val="tx1">
                <a:lumMod val="95000"/>
                <a:lumOff val="5000"/>
              </a:schemeClr>
            </a:gs>
          </a:gsLst>
          <a:lin ang="2700000" scaled="1"/>
          <a:tileRect/>
        </a:gradFill>
        <a:ln w="50800">
          <a:gradFill>
            <a:gsLst>
              <a:gs pos="0">
                <a:schemeClr val="tx1">
                  <a:lumMod val="75000"/>
                  <a:lumOff val="25000"/>
                </a:schemeClr>
              </a:gs>
              <a:gs pos="100000">
                <a:schemeClr val="tx1">
                  <a:lumMod val="75000"/>
                  <a:lumOff val="25000"/>
                </a:schemeClr>
              </a:gs>
            </a:gsLst>
            <a:lin ang="5400000" scaled="1"/>
          </a:gradFill>
        </a:ln>
        <a:effectLst>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Georgia" panose="02040502050405020303" pitchFamily="18" charset="0"/>
            </a:rPr>
            <a:t>FILTERS</a:t>
          </a:r>
        </a:p>
      </xdr:txBody>
    </xdr:sp>
    <xdr:clientData/>
  </xdr:twoCellAnchor>
  <xdr:twoCellAnchor>
    <xdr:from>
      <xdr:col>0</xdr:col>
      <xdr:colOff>368510</xdr:colOff>
      <xdr:row>14</xdr:row>
      <xdr:rowOff>180975</xdr:rowOff>
    </xdr:from>
    <xdr:to>
      <xdr:col>6</xdr:col>
      <xdr:colOff>19050</xdr:colOff>
      <xdr:row>28</xdr:row>
      <xdr:rowOff>107823</xdr:rowOff>
    </xdr:to>
    <xdr:sp macro="" textlink="">
      <xdr:nvSpPr>
        <xdr:cNvPr id="21" name="Rectangle: Rounded Corners 20">
          <a:extLst>
            <a:ext uri="{FF2B5EF4-FFF2-40B4-BE49-F238E27FC236}">
              <a16:creationId xmlns:a16="http://schemas.microsoft.com/office/drawing/2014/main" id="{30B5EECA-2AD6-4A16-B002-FD26277F0CE6}"/>
            </a:ext>
          </a:extLst>
        </xdr:cNvPr>
        <xdr:cNvSpPr/>
      </xdr:nvSpPr>
      <xdr:spPr>
        <a:xfrm>
          <a:off x="368510" y="3381375"/>
          <a:ext cx="3936790" cy="3127248"/>
        </a:xfrm>
        <a:prstGeom prst="roundRect">
          <a:avLst>
            <a:gd name="adj" fmla="val 5849"/>
          </a:avLst>
        </a:prstGeom>
        <a:gradFill flip="none" rotWithShape="1">
          <a:gsLst>
            <a:gs pos="0">
              <a:schemeClr val="tx1">
                <a:lumMod val="85000"/>
                <a:lumOff val="15000"/>
              </a:schemeClr>
            </a:gs>
            <a:gs pos="100000">
              <a:schemeClr val="tx1">
                <a:lumMod val="95000"/>
                <a:lumOff val="5000"/>
              </a:schemeClr>
            </a:gs>
          </a:gsLst>
          <a:lin ang="2700000" scaled="1"/>
          <a:tileRect/>
        </a:gradFill>
        <a:ln w="50800">
          <a:gradFill>
            <a:gsLst>
              <a:gs pos="0">
                <a:schemeClr val="tx1">
                  <a:lumMod val="75000"/>
                  <a:lumOff val="25000"/>
                </a:schemeClr>
              </a:gs>
              <a:gs pos="100000">
                <a:schemeClr val="tx1">
                  <a:lumMod val="75000"/>
                  <a:lumOff val="25000"/>
                </a:schemeClr>
              </a:gs>
            </a:gsLst>
            <a:lin ang="5400000" scaled="1"/>
          </a:gradFill>
        </a:ln>
        <a:effectLst>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368510</xdr:colOff>
      <xdr:row>29</xdr:row>
      <xdr:rowOff>41529</xdr:rowOff>
    </xdr:from>
    <xdr:to>
      <xdr:col>8</xdr:col>
      <xdr:colOff>322790</xdr:colOff>
      <xdr:row>44</xdr:row>
      <xdr:rowOff>87249</xdr:rowOff>
    </xdr:to>
    <xdr:sp macro="" textlink="">
      <xdr:nvSpPr>
        <xdr:cNvPr id="22" name="Rectangle: Rounded Corners 21">
          <a:extLst>
            <a:ext uri="{FF2B5EF4-FFF2-40B4-BE49-F238E27FC236}">
              <a16:creationId xmlns:a16="http://schemas.microsoft.com/office/drawing/2014/main" id="{DDC78A07-F861-4540-B002-0620A0C6FA10}"/>
            </a:ext>
          </a:extLst>
        </xdr:cNvPr>
        <xdr:cNvSpPr/>
      </xdr:nvSpPr>
      <xdr:spPr>
        <a:xfrm>
          <a:off x="368510" y="6670929"/>
          <a:ext cx="5669280" cy="3474720"/>
        </a:xfrm>
        <a:prstGeom prst="roundRect">
          <a:avLst>
            <a:gd name="adj" fmla="val 5849"/>
          </a:avLst>
        </a:prstGeom>
        <a:gradFill flip="none" rotWithShape="1">
          <a:gsLst>
            <a:gs pos="0">
              <a:schemeClr val="tx1">
                <a:lumMod val="85000"/>
                <a:lumOff val="15000"/>
              </a:schemeClr>
            </a:gs>
            <a:gs pos="100000">
              <a:schemeClr val="tx1">
                <a:lumMod val="95000"/>
                <a:lumOff val="5000"/>
              </a:schemeClr>
            </a:gs>
          </a:gsLst>
          <a:lin ang="2700000" scaled="1"/>
          <a:tileRect/>
        </a:gradFill>
        <a:ln w="50800">
          <a:gradFill>
            <a:gsLst>
              <a:gs pos="0">
                <a:schemeClr val="tx1">
                  <a:lumMod val="75000"/>
                  <a:lumOff val="25000"/>
                </a:schemeClr>
              </a:gs>
              <a:gs pos="100000">
                <a:schemeClr val="tx1">
                  <a:lumMod val="75000"/>
                  <a:lumOff val="25000"/>
                </a:schemeClr>
              </a:gs>
            </a:gsLst>
            <a:lin ang="5400000" scaled="1"/>
          </a:gradFill>
        </a:ln>
        <a:effectLst>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180976</xdr:colOff>
      <xdr:row>14</xdr:row>
      <xdr:rowOff>180975</xdr:rowOff>
    </xdr:from>
    <xdr:to>
      <xdr:col>23</xdr:col>
      <xdr:colOff>285751</xdr:colOff>
      <xdr:row>28</xdr:row>
      <xdr:rowOff>107823</xdr:rowOff>
    </xdr:to>
    <xdr:sp macro="" textlink="">
      <xdr:nvSpPr>
        <xdr:cNvPr id="23" name="Rectangle: Rounded Corners 22">
          <a:extLst>
            <a:ext uri="{FF2B5EF4-FFF2-40B4-BE49-F238E27FC236}">
              <a16:creationId xmlns:a16="http://schemas.microsoft.com/office/drawing/2014/main" id="{7243E03C-B1EB-4E94-928B-D21B24ED06AA}"/>
            </a:ext>
          </a:extLst>
        </xdr:cNvPr>
        <xdr:cNvSpPr/>
      </xdr:nvSpPr>
      <xdr:spPr>
        <a:xfrm>
          <a:off x="4467226" y="3381375"/>
          <a:ext cx="12249150" cy="3127248"/>
        </a:xfrm>
        <a:prstGeom prst="roundRect">
          <a:avLst>
            <a:gd name="adj" fmla="val 5849"/>
          </a:avLst>
        </a:prstGeom>
        <a:gradFill flip="none" rotWithShape="1">
          <a:gsLst>
            <a:gs pos="0">
              <a:schemeClr val="tx1">
                <a:lumMod val="85000"/>
                <a:lumOff val="15000"/>
              </a:schemeClr>
            </a:gs>
            <a:gs pos="100000">
              <a:schemeClr val="tx1">
                <a:lumMod val="95000"/>
                <a:lumOff val="5000"/>
              </a:schemeClr>
            </a:gs>
          </a:gsLst>
          <a:lin ang="3300000" scaled="0"/>
          <a:tileRect/>
        </a:gradFill>
        <a:ln w="50800">
          <a:gradFill>
            <a:gsLst>
              <a:gs pos="0">
                <a:schemeClr val="tx1">
                  <a:lumMod val="75000"/>
                  <a:lumOff val="25000"/>
                </a:schemeClr>
              </a:gs>
              <a:gs pos="100000">
                <a:schemeClr val="tx1">
                  <a:lumMod val="75000"/>
                  <a:lumOff val="25000"/>
                </a:schemeClr>
              </a:gs>
            </a:gsLst>
            <a:lin ang="5400000" scaled="1"/>
          </a:gradFill>
        </a:ln>
        <a:effectLst>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252620</xdr:colOff>
      <xdr:row>29</xdr:row>
      <xdr:rowOff>41529</xdr:rowOff>
    </xdr:from>
    <xdr:to>
      <xdr:col>23</xdr:col>
      <xdr:colOff>285751</xdr:colOff>
      <xdr:row>44</xdr:row>
      <xdr:rowOff>87249</xdr:rowOff>
    </xdr:to>
    <xdr:sp macro="" textlink="">
      <xdr:nvSpPr>
        <xdr:cNvPr id="27" name="Rectangle: Rounded Corners 26">
          <a:extLst>
            <a:ext uri="{FF2B5EF4-FFF2-40B4-BE49-F238E27FC236}">
              <a16:creationId xmlns:a16="http://schemas.microsoft.com/office/drawing/2014/main" id="{91E55CB6-7237-4D98-90A0-FE8AE8C320D1}"/>
            </a:ext>
          </a:extLst>
        </xdr:cNvPr>
        <xdr:cNvSpPr/>
      </xdr:nvSpPr>
      <xdr:spPr>
        <a:xfrm>
          <a:off x="10968245" y="6670929"/>
          <a:ext cx="5748131" cy="3474720"/>
        </a:xfrm>
        <a:prstGeom prst="roundRect">
          <a:avLst>
            <a:gd name="adj" fmla="val 5849"/>
          </a:avLst>
        </a:prstGeom>
        <a:gradFill flip="none" rotWithShape="1">
          <a:gsLst>
            <a:gs pos="0">
              <a:schemeClr val="tx1">
                <a:lumMod val="85000"/>
                <a:lumOff val="15000"/>
              </a:schemeClr>
            </a:gs>
            <a:gs pos="100000">
              <a:schemeClr val="tx1">
                <a:lumMod val="95000"/>
                <a:lumOff val="5000"/>
              </a:schemeClr>
            </a:gs>
          </a:gsLst>
          <a:lin ang="2700000" scaled="1"/>
          <a:tileRect/>
        </a:gradFill>
        <a:ln w="50800">
          <a:gradFill>
            <a:gsLst>
              <a:gs pos="0">
                <a:schemeClr val="tx1">
                  <a:lumMod val="75000"/>
                  <a:lumOff val="25000"/>
                </a:schemeClr>
              </a:gs>
              <a:gs pos="100000">
                <a:schemeClr val="tx1">
                  <a:lumMod val="75000"/>
                  <a:lumOff val="25000"/>
                </a:schemeClr>
              </a:gs>
            </a:gsLst>
            <a:lin ang="5400000" scaled="1"/>
          </a:gradFill>
        </a:ln>
        <a:effectLst>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134592</xdr:colOff>
      <xdr:row>1</xdr:row>
      <xdr:rowOff>107870</xdr:rowOff>
    </xdr:from>
    <xdr:to>
      <xdr:col>5</xdr:col>
      <xdr:colOff>233984</xdr:colOff>
      <xdr:row>5</xdr:row>
      <xdr:rowOff>112420</xdr:rowOff>
    </xdr:to>
    <xdr:pic>
      <xdr:nvPicPr>
        <xdr:cNvPr id="32" name="Picture 31">
          <a:extLst>
            <a:ext uri="{FF2B5EF4-FFF2-40B4-BE49-F238E27FC236}">
              <a16:creationId xmlns:a16="http://schemas.microsoft.com/office/drawing/2014/main" id="{4C407396-B94B-B604-E8A6-6E892A83572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2399" t="29987" r="12311" b="34858"/>
        <a:stretch>
          <a:fillRect/>
        </a:stretch>
      </xdr:blipFill>
      <xdr:spPr>
        <a:xfrm>
          <a:off x="848967" y="336470"/>
          <a:ext cx="2956892" cy="918950"/>
        </a:xfrm>
        <a:prstGeom prst="rect">
          <a:avLst/>
        </a:prstGeom>
      </xdr:spPr>
    </xdr:pic>
    <xdr:clientData/>
  </xdr:twoCellAnchor>
  <xdr:twoCellAnchor editAs="oneCell">
    <xdr:from>
      <xdr:col>0</xdr:col>
      <xdr:colOff>587847</xdr:colOff>
      <xdr:row>11</xdr:row>
      <xdr:rowOff>51292</xdr:rowOff>
    </xdr:from>
    <xdr:to>
      <xdr:col>1</xdr:col>
      <xdr:colOff>418799</xdr:colOff>
      <xdr:row>13</xdr:row>
      <xdr:rowOff>152817</xdr:rowOff>
    </xdr:to>
    <xdr:pic>
      <xdr:nvPicPr>
        <xdr:cNvPr id="3" name="Graphic 2" descr="Suburban scene with solid fill">
          <a:extLst>
            <a:ext uri="{FF2B5EF4-FFF2-40B4-BE49-F238E27FC236}">
              <a16:creationId xmlns:a16="http://schemas.microsoft.com/office/drawing/2014/main" id="{81A441B8-C9B3-7C3B-F691-59C3C9EF817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7847" y="2565892"/>
          <a:ext cx="545327" cy="558725"/>
        </a:xfrm>
        <a:prstGeom prst="rect">
          <a:avLst/>
        </a:prstGeom>
      </xdr:spPr>
    </xdr:pic>
    <xdr:clientData/>
  </xdr:twoCellAnchor>
  <xdr:oneCellAnchor>
    <xdr:from>
      <xdr:col>3</xdr:col>
      <xdr:colOff>46797</xdr:colOff>
      <xdr:row>10</xdr:row>
      <xdr:rowOff>48042</xdr:rowOff>
    </xdr:from>
    <xdr:ext cx="1499152" cy="952500"/>
    <xdr:sp macro="" textlink="'Data Processor'!B3">
      <xdr:nvSpPr>
        <xdr:cNvPr id="42" name="TextBox 41">
          <a:extLst>
            <a:ext uri="{FF2B5EF4-FFF2-40B4-BE49-F238E27FC236}">
              <a16:creationId xmlns:a16="http://schemas.microsoft.com/office/drawing/2014/main" id="{382F5B74-FAA9-C34F-BB36-9ACC8BEEA61C}"/>
            </a:ext>
          </a:extLst>
        </xdr:cNvPr>
        <xdr:cNvSpPr txBox="1"/>
      </xdr:nvSpPr>
      <xdr:spPr>
        <a:xfrm>
          <a:off x="2189922" y="2334042"/>
          <a:ext cx="1499152" cy="952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9730B16-915A-402E-B21C-43C03D013634}" type="TxLink">
            <a:rPr lang="en-US" sz="3600" b="1" i="0" u="none" strike="noStrike">
              <a:solidFill>
                <a:schemeClr val="bg1"/>
              </a:solidFill>
              <a:latin typeface="Georgia"/>
            </a:rPr>
            <a:pPr algn="ctr"/>
            <a:t>22</a:t>
          </a:fld>
          <a:endParaRPr lang="en-US" sz="3600" b="1">
            <a:solidFill>
              <a:schemeClr val="bg1"/>
            </a:solidFill>
          </a:endParaRPr>
        </a:p>
      </xdr:txBody>
    </xdr:sp>
    <xdr:clientData/>
  </xdr:oneCellAnchor>
  <xdr:oneCellAnchor>
    <xdr:from>
      <xdr:col>7</xdr:col>
      <xdr:colOff>344142</xdr:colOff>
      <xdr:row>10</xdr:row>
      <xdr:rowOff>89455</xdr:rowOff>
    </xdr:from>
    <xdr:ext cx="1532285" cy="911087"/>
    <xdr:sp macro="" textlink="'Data Processor'!F3">
      <xdr:nvSpPr>
        <xdr:cNvPr id="43" name="TextBox 42">
          <a:extLst>
            <a:ext uri="{FF2B5EF4-FFF2-40B4-BE49-F238E27FC236}">
              <a16:creationId xmlns:a16="http://schemas.microsoft.com/office/drawing/2014/main" id="{4E7F6368-7EC6-3F96-1EBC-A85B19982F06}"/>
            </a:ext>
          </a:extLst>
        </xdr:cNvPr>
        <xdr:cNvSpPr txBox="1"/>
      </xdr:nvSpPr>
      <xdr:spPr>
        <a:xfrm>
          <a:off x="5344767" y="2375455"/>
          <a:ext cx="1532285" cy="9110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ABF9EF6-E9ED-4D78-9072-A03EE4659FAC}" type="TxLink">
            <a:rPr lang="en-US" sz="3600" b="1" i="0" u="none" strike="noStrike">
              <a:solidFill>
                <a:schemeClr val="accent3">
                  <a:lumMod val="75000"/>
                </a:schemeClr>
              </a:solidFill>
              <a:latin typeface="Georgia"/>
            </a:rPr>
            <a:pPr algn="ctr"/>
            <a:t>10</a:t>
          </a:fld>
          <a:endParaRPr lang="en-US" sz="3600" b="1">
            <a:solidFill>
              <a:schemeClr val="accent3">
                <a:lumMod val="75000"/>
              </a:schemeClr>
            </a:solidFill>
          </a:endParaRPr>
        </a:p>
      </xdr:txBody>
    </xdr:sp>
    <xdr:clientData/>
  </xdr:oneCellAnchor>
  <xdr:twoCellAnchor>
    <xdr:from>
      <xdr:col>9</xdr:col>
      <xdr:colOff>511423</xdr:colOff>
      <xdr:row>9</xdr:row>
      <xdr:rowOff>95250</xdr:rowOff>
    </xdr:from>
    <xdr:to>
      <xdr:col>13</xdr:col>
      <xdr:colOff>620090</xdr:colOff>
      <xdr:row>14</xdr:row>
      <xdr:rowOff>31971</xdr:rowOff>
    </xdr:to>
    <xdr:sp macro="" textlink="">
      <xdr:nvSpPr>
        <xdr:cNvPr id="44" name="Rectangle: Rounded Corners 43">
          <a:extLst>
            <a:ext uri="{FF2B5EF4-FFF2-40B4-BE49-F238E27FC236}">
              <a16:creationId xmlns:a16="http://schemas.microsoft.com/office/drawing/2014/main" id="{ECA06FF4-24FA-408E-B79D-CDF33FE98990}"/>
            </a:ext>
          </a:extLst>
        </xdr:cNvPr>
        <xdr:cNvSpPr/>
      </xdr:nvSpPr>
      <xdr:spPr>
        <a:xfrm>
          <a:off x="6940798" y="2152650"/>
          <a:ext cx="2966167" cy="1079721"/>
        </a:xfrm>
        <a:prstGeom prst="roundRect">
          <a:avLst>
            <a:gd name="adj" fmla="val 15825"/>
          </a:avLst>
        </a:prstGeom>
        <a:gradFill flip="none" rotWithShape="1">
          <a:gsLst>
            <a:gs pos="0">
              <a:schemeClr val="tx1">
                <a:lumMod val="85000"/>
                <a:lumOff val="15000"/>
              </a:schemeClr>
            </a:gs>
            <a:gs pos="100000">
              <a:schemeClr val="tx1">
                <a:lumMod val="95000"/>
                <a:lumOff val="5000"/>
              </a:schemeClr>
            </a:gs>
          </a:gsLst>
          <a:lin ang="2700000" scaled="1"/>
          <a:tileRect/>
        </a:gradFill>
        <a:ln w="50800">
          <a:gradFill>
            <a:gsLst>
              <a:gs pos="0">
                <a:schemeClr val="tx1">
                  <a:lumMod val="75000"/>
                  <a:lumOff val="25000"/>
                </a:schemeClr>
              </a:gs>
              <a:gs pos="100000">
                <a:schemeClr val="tx1">
                  <a:lumMod val="75000"/>
                  <a:lumOff val="25000"/>
                </a:schemeClr>
              </a:gs>
            </a:gsLst>
            <a:lin ang="5400000" scaled="1"/>
          </a:gradFill>
        </a:ln>
        <a:effectLst>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Georgia" panose="02040502050405020303" pitchFamily="18" charset="0"/>
            </a:rPr>
            <a:t>REVEIW PROJECTS.</a:t>
          </a:r>
        </a:p>
      </xdr:txBody>
    </xdr:sp>
    <xdr:clientData/>
  </xdr:twoCellAnchor>
  <xdr:oneCellAnchor>
    <xdr:from>
      <xdr:col>11</xdr:col>
      <xdr:colOff>630307</xdr:colOff>
      <xdr:row>10</xdr:row>
      <xdr:rowOff>89455</xdr:rowOff>
    </xdr:from>
    <xdr:ext cx="1681369" cy="911087"/>
    <xdr:sp macro="" textlink="'Data Processor'!H3">
      <xdr:nvSpPr>
        <xdr:cNvPr id="45" name="TextBox 44">
          <a:extLst>
            <a:ext uri="{FF2B5EF4-FFF2-40B4-BE49-F238E27FC236}">
              <a16:creationId xmlns:a16="http://schemas.microsoft.com/office/drawing/2014/main" id="{7A43B532-F07C-43FA-9F3A-F11B217D88DC}"/>
            </a:ext>
          </a:extLst>
        </xdr:cNvPr>
        <xdr:cNvSpPr txBox="1"/>
      </xdr:nvSpPr>
      <xdr:spPr>
        <a:xfrm>
          <a:off x="8488432" y="2375455"/>
          <a:ext cx="1681369" cy="9110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60EDC1E-BA27-4DCA-B028-19E6CACBF737}" type="TxLink">
            <a:rPr lang="en-US" sz="3600" b="1" i="0" u="none" strike="noStrike">
              <a:solidFill>
                <a:schemeClr val="accent6"/>
              </a:solidFill>
              <a:latin typeface="Georgia"/>
            </a:rPr>
            <a:pPr algn="ctr"/>
            <a:t>6</a:t>
          </a:fld>
          <a:endParaRPr lang="en-US" sz="3600" b="1">
            <a:solidFill>
              <a:schemeClr val="accent6"/>
            </a:solidFill>
          </a:endParaRPr>
        </a:p>
      </xdr:txBody>
    </xdr:sp>
    <xdr:clientData/>
  </xdr:oneCellAnchor>
  <xdr:oneCellAnchor>
    <xdr:from>
      <xdr:col>15</xdr:col>
      <xdr:colOff>690354</xdr:colOff>
      <xdr:row>10</xdr:row>
      <xdr:rowOff>32305</xdr:rowOff>
    </xdr:from>
    <xdr:ext cx="1870216" cy="911087"/>
    <xdr:sp macro="" textlink="'Data Processor'!D3">
      <xdr:nvSpPr>
        <xdr:cNvPr id="46" name="TextBox 45">
          <a:extLst>
            <a:ext uri="{FF2B5EF4-FFF2-40B4-BE49-F238E27FC236}">
              <a16:creationId xmlns:a16="http://schemas.microsoft.com/office/drawing/2014/main" id="{9E8F70E2-5071-487D-93E1-2E7BFD348812}"/>
            </a:ext>
          </a:extLst>
        </xdr:cNvPr>
        <xdr:cNvSpPr txBox="1"/>
      </xdr:nvSpPr>
      <xdr:spPr>
        <a:xfrm>
          <a:off x="11405979" y="2318305"/>
          <a:ext cx="1870216" cy="9110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D89605F-90AE-452C-AFB4-D04ABA0E9641}" type="TxLink">
            <a:rPr lang="en-US" sz="3200" b="1" i="0" u="none" strike="noStrike">
              <a:solidFill>
                <a:schemeClr val="bg1"/>
              </a:solidFill>
              <a:latin typeface="Georgia"/>
            </a:rPr>
            <a:pPr algn="ctr"/>
            <a:t>41%</a:t>
          </a:fld>
          <a:endParaRPr lang="en-US" sz="3200" b="1">
            <a:solidFill>
              <a:schemeClr val="bg1"/>
            </a:solidFill>
          </a:endParaRPr>
        </a:p>
      </xdr:txBody>
    </xdr:sp>
    <xdr:clientData/>
  </xdr:oneCellAnchor>
  <xdr:oneCellAnchor>
    <xdr:from>
      <xdr:col>21</xdr:col>
      <xdr:colOff>76204</xdr:colOff>
      <xdr:row>10</xdr:row>
      <xdr:rowOff>89455</xdr:rowOff>
    </xdr:from>
    <xdr:ext cx="1697935" cy="911087"/>
    <xdr:sp macro="" textlink="'Data Processor'!J3">
      <xdr:nvSpPr>
        <xdr:cNvPr id="47" name="TextBox 46">
          <a:extLst>
            <a:ext uri="{FF2B5EF4-FFF2-40B4-BE49-F238E27FC236}">
              <a16:creationId xmlns:a16="http://schemas.microsoft.com/office/drawing/2014/main" id="{5D9C5446-51A2-4859-8E18-A01B998A896E}"/>
            </a:ext>
          </a:extLst>
        </xdr:cNvPr>
        <xdr:cNvSpPr txBox="1"/>
      </xdr:nvSpPr>
      <xdr:spPr>
        <a:xfrm>
          <a:off x="15078079" y="2375455"/>
          <a:ext cx="1697935" cy="9110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7FB22F9-60FE-4A37-AF49-5930D4DAC8A9}" type="TxLink">
            <a:rPr lang="en-US" sz="3600" b="1" i="0" u="none" strike="noStrike">
              <a:solidFill>
                <a:srgbClr val="C00000"/>
              </a:solidFill>
              <a:latin typeface="Georgia"/>
            </a:rPr>
            <a:pPr algn="ctr"/>
            <a:t>6</a:t>
          </a:fld>
          <a:endParaRPr lang="en-US" sz="3600" b="1">
            <a:solidFill>
              <a:srgbClr val="C00000"/>
            </a:solidFill>
          </a:endParaRPr>
        </a:p>
      </xdr:txBody>
    </xdr:sp>
    <xdr:clientData/>
  </xdr:oneCellAnchor>
  <xdr:twoCellAnchor editAs="oneCell">
    <xdr:from>
      <xdr:col>14</xdr:col>
      <xdr:colOff>320950</xdr:colOff>
      <xdr:row>11</xdr:row>
      <xdr:rowOff>70153</xdr:rowOff>
    </xdr:from>
    <xdr:to>
      <xdr:col>15</xdr:col>
      <xdr:colOff>150936</xdr:colOff>
      <xdr:row>13</xdr:row>
      <xdr:rowOff>152817</xdr:rowOff>
    </xdr:to>
    <xdr:pic>
      <xdr:nvPicPr>
        <xdr:cNvPr id="49" name="Graphic 48" descr="Bar graph with upward trend with solid fill">
          <a:extLst>
            <a:ext uri="{FF2B5EF4-FFF2-40B4-BE49-F238E27FC236}">
              <a16:creationId xmlns:a16="http://schemas.microsoft.com/office/drawing/2014/main" id="{543CF2E1-C3BB-4F66-F8FE-2F322707D99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322200" y="2584753"/>
          <a:ext cx="544361" cy="539864"/>
        </a:xfrm>
        <a:prstGeom prst="rect">
          <a:avLst/>
        </a:prstGeom>
      </xdr:spPr>
    </xdr:pic>
    <xdr:clientData/>
  </xdr:twoCellAnchor>
  <xdr:twoCellAnchor>
    <xdr:from>
      <xdr:col>0</xdr:col>
      <xdr:colOff>521804</xdr:colOff>
      <xdr:row>17</xdr:row>
      <xdr:rowOff>130865</xdr:rowOff>
    </xdr:from>
    <xdr:to>
      <xdr:col>9</xdr:col>
      <xdr:colOff>546653</xdr:colOff>
      <xdr:row>27</xdr:row>
      <xdr:rowOff>115128</xdr:rowOff>
    </xdr:to>
    <xdr:graphicFrame macro="">
      <xdr:nvGraphicFramePr>
        <xdr:cNvPr id="7" name="Chart 6">
          <a:extLst>
            <a:ext uri="{FF2B5EF4-FFF2-40B4-BE49-F238E27FC236}">
              <a16:creationId xmlns:a16="http://schemas.microsoft.com/office/drawing/2014/main" id="{24F596EC-2210-599E-0CA1-D08C23C36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446019</xdr:colOff>
      <xdr:row>16</xdr:row>
      <xdr:rowOff>47626</xdr:rowOff>
    </xdr:from>
    <xdr:to>
      <xdr:col>5</xdr:col>
      <xdr:colOff>676275</xdr:colOff>
      <xdr:row>28</xdr:row>
      <xdr:rowOff>59634</xdr:rowOff>
    </xdr:to>
    <xdr:graphicFrame macro="">
      <xdr:nvGraphicFramePr>
        <xdr:cNvPr id="50" name="Chart 49">
          <a:extLst>
            <a:ext uri="{FF2B5EF4-FFF2-40B4-BE49-F238E27FC236}">
              <a16:creationId xmlns:a16="http://schemas.microsoft.com/office/drawing/2014/main" id="{06B6C0FF-B8EF-4E18-B160-42B8B64FE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422413</xdr:colOff>
      <xdr:row>29</xdr:row>
      <xdr:rowOff>95251</xdr:rowOff>
    </xdr:from>
    <xdr:to>
      <xdr:col>8</xdr:col>
      <xdr:colOff>231913</xdr:colOff>
      <xdr:row>43</xdr:row>
      <xdr:rowOff>227357</xdr:rowOff>
    </xdr:to>
    <xdr:graphicFrame macro="">
      <xdr:nvGraphicFramePr>
        <xdr:cNvPr id="25" name="Chart 24">
          <a:extLst>
            <a:ext uri="{FF2B5EF4-FFF2-40B4-BE49-F238E27FC236}">
              <a16:creationId xmlns:a16="http://schemas.microsoft.com/office/drawing/2014/main" id="{AD4C23F4-DED9-49A5-A35D-6E51F5A3F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342900</xdr:colOff>
      <xdr:row>29</xdr:row>
      <xdr:rowOff>57151</xdr:rowOff>
    </xdr:from>
    <xdr:to>
      <xdr:col>23</xdr:col>
      <xdr:colOff>185531</xdr:colOff>
      <xdr:row>43</xdr:row>
      <xdr:rowOff>77855</xdr:rowOff>
    </xdr:to>
    <xdr:graphicFrame macro="">
      <xdr:nvGraphicFramePr>
        <xdr:cNvPr id="26" name="Chart 25">
          <a:extLst>
            <a:ext uri="{FF2B5EF4-FFF2-40B4-BE49-F238E27FC236}">
              <a16:creationId xmlns:a16="http://schemas.microsoft.com/office/drawing/2014/main" id="{D444F1C2-633C-4569-8F56-E2BDACF9A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82415</xdr:colOff>
      <xdr:row>31</xdr:row>
      <xdr:rowOff>3</xdr:rowOff>
    </xdr:from>
    <xdr:to>
      <xdr:col>19</xdr:col>
      <xdr:colOff>231502</xdr:colOff>
      <xdr:row>32</xdr:row>
      <xdr:rowOff>41414</xdr:rowOff>
    </xdr:to>
    <xdr:sp macro="" textlink="'Data Processor'!J18">
      <xdr:nvSpPr>
        <xdr:cNvPr id="28" name="TextBox 27">
          <a:extLst>
            <a:ext uri="{FF2B5EF4-FFF2-40B4-BE49-F238E27FC236}">
              <a16:creationId xmlns:a16="http://schemas.microsoft.com/office/drawing/2014/main" id="{5B92A28B-2163-8907-F099-B396EEE7DDAF}"/>
            </a:ext>
          </a:extLst>
        </xdr:cNvPr>
        <xdr:cNvSpPr txBox="1"/>
      </xdr:nvSpPr>
      <xdr:spPr>
        <a:xfrm>
          <a:off x="12941165" y="7086603"/>
          <a:ext cx="863462" cy="2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63148F-6330-4A27-A287-A2CFE4E44150}" type="TxLink">
            <a:rPr lang="en-US" sz="1200" b="1" i="0" u="none" strike="noStrike">
              <a:solidFill>
                <a:schemeClr val="bg1">
                  <a:lumMod val="75000"/>
                </a:schemeClr>
              </a:solidFill>
              <a:latin typeface="Calibri"/>
              <a:ea typeface="Calibri"/>
              <a:cs typeface="Calibri"/>
            </a:rPr>
            <a:pPr/>
            <a:t>8</a:t>
          </a:fld>
          <a:endParaRPr lang="en-US" sz="1400" b="1">
            <a:solidFill>
              <a:schemeClr val="bg1">
                <a:lumMod val="75000"/>
              </a:schemeClr>
            </a:solidFill>
          </a:endParaRPr>
        </a:p>
      </xdr:txBody>
    </xdr:sp>
    <xdr:clientData/>
  </xdr:twoCellAnchor>
  <xdr:twoCellAnchor>
    <xdr:from>
      <xdr:col>18</xdr:col>
      <xdr:colOff>82415</xdr:colOff>
      <xdr:row>32</xdr:row>
      <xdr:rowOff>111403</xdr:rowOff>
    </xdr:from>
    <xdr:to>
      <xdr:col>19</xdr:col>
      <xdr:colOff>231502</xdr:colOff>
      <xdr:row>33</xdr:row>
      <xdr:rowOff>152814</xdr:rowOff>
    </xdr:to>
    <xdr:sp macro="" textlink="'Data Processor'!J19">
      <xdr:nvSpPr>
        <xdr:cNvPr id="29" name="TextBox 28">
          <a:extLst>
            <a:ext uri="{FF2B5EF4-FFF2-40B4-BE49-F238E27FC236}">
              <a16:creationId xmlns:a16="http://schemas.microsoft.com/office/drawing/2014/main" id="{E9B3B398-FEA8-41BD-A2EA-24DBFB4E2730}"/>
            </a:ext>
          </a:extLst>
        </xdr:cNvPr>
        <xdr:cNvSpPr txBox="1"/>
      </xdr:nvSpPr>
      <xdr:spPr>
        <a:xfrm>
          <a:off x="12941165" y="7426603"/>
          <a:ext cx="863462" cy="27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BD3856-BFA6-42DE-822D-C403CD870148}" type="TxLink">
            <a:rPr lang="en-US" sz="1200" b="1" i="0" u="none" strike="noStrike">
              <a:solidFill>
                <a:schemeClr val="bg1">
                  <a:lumMod val="75000"/>
                </a:schemeClr>
              </a:solidFill>
              <a:latin typeface="Calibri"/>
              <a:ea typeface="Calibri"/>
              <a:cs typeface="Calibri"/>
            </a:rPr>
            <a:pPr/>
            <a:t>6</a:t>
          </a:fld>
          <a:endParaRPr lang="en-US" sz="1600" b="1">
            <a:solidFill>
              <a:schemeClr val="bg1">
                <a:lumMod val="75000"/>
              </a:schemeClr>
            </a:solidFill>
          </a:endParaRPr>
        </a:p>
      </xdr:txBody>
    </xdr:sp>
    <xdr:clientData/>
  </xdr:twoCellAnchor>
  <xdr:twoCellAnchor>
    <xdr:from>
      <xdr:col>18</xdr:col>
      <xdr:colOff>82415</xdr:colOff>
      <xdr:row>33</xdr:row>
      <xdr:rowOff>208724</xdr:rowOff>
    </xdr:from>
    <xdr:to>
      <xdr:col>19</xdr:col>
      <xdr:colOff>231502</xdr:colOff>
      <xdr:row>35</xdr:row>
      <xdr:rowOff>142461</xdr:rowOff>
    </xdr:to>
    <xdr:sp macro="" textlink="'Data Processor'!J20">
      <xdr:nvSpPr>
        <xdr:cNvPr id="30" name="TextBox 29">
          <a:extLst>
            <a:ext uri="{FF2B5EF4-FFF2-40B4-BE49-F238E27FC236}">
              <a16:creationId xmlns:a16="http://schemas.microsoft.com/office/drawing/2014/main" id="{C2A63C32-FB98-438A-A1C4-D5C67DC61285}"/>
            </a:ext>
          </a:extLst>
        </xdr:cNvPr>
        <xdr:cNvSpPr txBox="1"/>
      </xdr:nvSpPr>
      <xdr:spPr>
        <a:xfrm>
          <a:off x="12941165" y="7752524"/>
          <a:ext cx="863462" cy="39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5A5251-E4C2-436A-B438-5E9CBAFC77B6}" type="TxLink">
            <a:rPr lang="en-US" sz="1200" b="1" i="0" u="none" strike="noStrike">
              <a:solidFill>
                <a:schemeClr val="bg1">
                  <a:lumMod val="75000"/>
                </a:schemeClr>
              </a:solidFill>
              <a:latin typeface="Calibri"/>
              <a:ea typeface="Calibri"/>
              <a:cs typeface="Calibri"/>
            </a:rPr>
            <a:pPr/>
            <a:t>8</a:t>
          </a:fld>
          <a:endParaRPr lang="en-US" sz="1600" b="1">
            <a:solidFill>
              <a:schemeClr val="bg1">
                <a:lumMod val="75000"/>
              </a:schemeClr>
            </a:solidFill>
          </a:endParaRPr>
        </a:p>
      </xdr:txBody>
    </xdr:sp>
    <xdr:clientData/>
  </xdr:twoCellAnchor>
  <xdr:twoCellAnchor>
    <xdr:from>
      <xdr:col>17</xdr:col>
      <xdr:colOff>297760</xdr:colOff>
      <xdr:row>28</xdr:row>
      <xdr:rowOff>180145</xdr:rowOff>
    </xdr:from>
    <xdr:to>
      <xdr:col>19</xdr:col>
      <xdr:colOff>114300</xdr:colOff>
      <xdr:row>31</xdr:row>
      <xdr:rowOff>113883</xdr:rowOff>
    </xdr:to>
    <xdr:sp macro="" textlink="'Data Processor'!J18">
      <xdr:nvSpPr>
        <xdr:cNvPr id="31" name="TextBox 30">
          <a:extLst>
            <a:ext uri="{FF2B5EF4-FFF2-40B4-BE49-F238E27FC236}">
              <a16:creationId xmlns:a16="http://schemas.microsoft.com/office/drawing/2014/main" id="{BC285F08-3654-4F29-A3D2-D622BD89FA86}"/>
            </a:ext>
          </a:extLst>
        </xdr:cNvPr>
        <xdr:cNvSpPr txBox="1"/>
      </xdr:nvSpPr>
      <xdr:spPr>
        <a:xfrm>
          <a:off x="12442135" y="6580945"/>
          <a:ext cx="1245290" cy="619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1">
                  <a:lumMod val="75000"/>
                </a:schemeClr>
              </a:solidFill>
              <a:latin typeface="Calibri"/>
              <a:ea typeface="Calibri"/>
              <a:cs typeface="Calibri"/>
            </a:rPr>
            <a:t>No</a:t>
          </a:r>
          <a:r>
            <a:rPr lang="en-US" sz="1200" b="1" i="0" u="none" strike="noStrike" baseline="0">
              <a:solidFill>
                <a:schemeClr val="bg1">
                  <a:lumMod val="75000"/>
                </a:schemeClr>
              </a:solidFill>
              <a:latin typeface="Calibri"/>
              <a:ea typeface="Calibri"/>
              <a:cs typeface="Calibri"/>
            </a:rPr>
            <a:t> of Projects</a:t>
          </a:r>
          <a:endParaRPr lang="en-US" sz="1400" b="1">
            <a:solidFill>
              <a:schemeClr val="bg1">
                <a:lumMod val="75000"/>
              </a:schemeClr>
            </a:solidFill>
          </a:endParaRPr>
        </a:p>
      </xdr:txBody>
    </xdr:sp>
    <xdr:clientData/>
  </xdr:twoCellAnchor>
  <xdr:twoCellAnchor>
    <xdr:from>
      <xdr:col>15</xdr:col>
      <xdr:colOff>692425</xdr:colOff>
      <xdr:row>35</xdr:row>
      <xdr:rowOff>39759</xdr:rowOff>
    </xdr:from>
    <xdr:to>
      <xdr:col>18</xdr:col>
      <xdr:colOff>302728</xdr:colOff>
      <xdr:row>36</xdr:row>
      <xdr:rowOff>97736</xdr:rowOff>
    </xdr:to>
    <xdr:sp macro="" textlink="'Data Processor'!J18">
      <xdr:nvSpPr>
        <xdr:cNvPr id="33" name="TextBox 32">
          <a:extLst>
            <a:ext uri="{FF2B5EF4-FFF2-40B4-BE49-F238E27FC236}">
              <a16:creationId xmlns:a16="http://schemas.microsoft.com/office/drawing/2014/main" id="{07313A0E-910E-4AFB-8833-136B114EDFA5}"/>
            </a:ext>
          </a:extLst>
        </xdr:cNvPr>
        <xdr:cNvSpPr txBox="1"/>
      </xdr:nvSpPr>
      <xdr:spPr>
        <a:xfrm>
          <a:off x="11408050" y="8040759"/>
          <a:ext cx="1753428" cy="286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lumMod val="75000"/>
                </a:schemeClr>
              </a:solidFill>
              <a:latin typeface="Calibri"/>
              <a:ea typeface="Calibri"/>
              <a:cs typeface="Calibri"/>
            </a:rPr>
            <a:t>Total No</a:t>
          </a:r>
          <a:r>
            <a:rPr lang="en-US" sz="1200" b="1" i="0" u="none" strike="noStrike" baseline="0">
              <a:solidFill>
                <a:schemeClr val="bg1">
                  <a:lumMod val="75000"/>
                </a:schemeClr>
              </a:solidFill>
              <a:latin typeface="Calibri"/>
              <a:ea typeface="Calibri"/>
              <a:cs typeface="Calibri"/>
            </a:rPr>
            <a:t> of Projects :</a:t>
          </a:r>
          <a:endParaRPr lang="en-US" sz="1400" b="1">
            <a:solidFill>
              <a:schemeClr val="bg1">
                <a:lumMod val="75000"/>
              </a:schemeClr>
            </a:solidFill>
          </a:endParaRPr>
        </a:p>
      </xdr:txBody>
    </xdr:sp>
    <xdr:clientData/>
  </xdr:twoCellAnchor>
  <xdr:twoCellAnchor>
    <xdr:from>
      <xdr:col>18</xdr:col>
      <xdr:colOff>46392</xdr:colOff>
      <xdr:row>35</xdr:row>
      <xdr:rowOff>49285</xdr:rowOff>
    </xdr:from>
    <xdr:to>
      <xdr:col>19</xdr:col>
      <xdr:colOff>195479</xdr:colOff>
      <xdr:row>36</xdr:row>
      <xdr:rowOff>107262</xdr:rowOff>
    </xdr:to>
    <xdr:sp macro="" textlink="'Data Processor'!J21">
      <xdr:nvSpPr>
        <xdr:cNvPr id="34" name="TextBox 33">
          <a:extLst>
            <a:ext uri="{FF2B5EF4-FFF2-40B4-BE49-F238E27FC236}">
              <a16:creationId xmlns:a16="http://schemas.microsoft.com/office/drawing/2014/main" id="{FABDCC5A-BA93-4876-AC24-60876E9EB0A0}"/>
            </a:ext>
          </a:extLst>
        </xdr:cNvPr>
        <xdr:cNvSpPr txBox="1"/>
      </xdr:nvSpPr>
      <xdr:spPr>
        <a:xfrm>
          <a:off x="12905142" y="8050285"/>
          <a:ext cx="863462" cy="286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C15E97-FCE7-4D33-A0F7-9E3764665BEC}" type="TxLink">
            <a:rPr lang="en-US" sz="1200" b="1" i="0" u="none" strike="noStrike">
              <a:solidFill>
                <a:schemeClr val="bg1">
                  <a:lumMod val="75000"/>
                </a:schemeClr>
              </a:solidFill>
              <a:latin typeface="Calibri"/>
              <a:ea typeface="Calibri"/>
              <a:cs typeface="Calibri"/>
            </a:rPr>
            <a:pPr/>
            <a:t>22</a:t>
          </a:fld>
          <a:endParaRPr lang="en-US" sz="1800" b="1">
            <a:solidFill>
              <a:schemeClr val="bg1">
                <a:lumMod val="75000"/>
              </a:schemeClr>
            </a:solidFill>
          </a:endParaRPr>
        </a:p>
      </xdr:txBody>
    </xdr:sp>
    <xdr:clientData/>
  </xdr:twoCellAnchor>
  <xdr:twoCellAnchor>
    <xdr:from>
      <xdr:col>15</xdr:col>
      <xdr:colOff>575225</xdr:colOff>
      <xdr:row>42</xdr:row>
      <xdr:rowOff>133766</xdr:rowOff>
    </xdr:from>
    <xdr:to>
      <xdr:col>16</xdr:col>
      <xdr:colOff>434421</xdr:colOff>
      <xdr:row>44</xdr:row>
      <xdr:rowOff>84070</xdr:rowOff>
    </xdr:to>
    <xdr:sp macro="" textlink="">
      <xdr:nvSpPr>
        <xdr:cNvPr id="36" name="TextBox 35">
          <a:extLst>
            <a:ext uri="{FF2B5EF4-FFF2-40B4-BE49-F238E27FC236}">
              <a16:creationId xmlns:a16="http://schemas.microsoft.com/office/drawing/2014/main" id="{1A57D33D-6779-839F-5CDD-2FD4DF9F7084}"/>
            </a:ext>
          </a:extLst>
        </xdr:cNvPr>
        <xdr:cNvSpPr txBox="1"/>
      </xdr:nvSpPr>
      <xdr:spPr>
        <a:xfrm>
          <a:off x="11290850" y="9734966"/>
          <a:ext cx="573571" cy="407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65000"/>
                </a:schemeClr>
              </a:solidFill>
            </a:rPr>
            <a:t>LOW</a:t>
          </a:r>
        </a:p>
      </xdr:txBody>
    </xdr:sp>
    <xdr:clientData/>
  </xdr:twoCellAnchor>
  <xdr:twoCellAnchor>
    <xdr:from>
      <xdr:col>18</xdr:col>
      <xdr:colOff>423243</xdr:colOff>
      <xdr:row>42</xdr:row>
      <xdr:rowOff>133766</xdr:rowOff>
    </xdr:from>
    <xdr:to>
      <xdr:col>19</xdr:col>
      <xdr:colOff>209136</xdr:colOff>
      <xdr:row>44</xdr:row>
      <xdr:rowOff>84070</xdr:rowOff>
    </xdr:to>
    <xdr:sp macro="" textlink="">
      <xdr:nvSpPr>
        <xdr:cNvPr id="37" name="TextBox 36">
          <a:extLst>
            <a:ext uri="{FF2B5EF4-FFF2-40B4-BE49-F238E27FC236}">
              <a16:creationId xmlns:a16="http://schemas.microsoft.com/office/drawing/2014/main" id="{78D6C3F4-8166-4681-8CD0-415184172F99}"/>
            </a:ext>
          </a:extLst>
        </xdr:cNvPr>
        <xdr:cNvSpPr txBox="1"/>
      </xdr:nvSpPr>
      <xdr:spPr>
        <a:xfrm>
          <a:off x="13281993" y="9734966"/>
          <a:ext cx="500268" cy="407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D73D57"/>
              </a:solidFill>
            </a:rPr>
            <a:t>HIGH</a:t>
          </a:r>
        </a:p>
      </xdr:txBody>
    </xdr:sp>
    <xdr:clientData/>
  </xdr:twoCellAnchor>
  <xdr:twoCellAnchor>
    <xdr:from>
      <xdr:col>8</xdr:col>
      <xdr:colOff>462726</xdr:colOff>
      <xdr:row>29</xdr:row>
      <xdr:rowOff>41529</xdr:rowOff>
    </xdr:from>
    <xdr:to>
      <xdr:col>15</xdr:col>
      <xdr:colOff>112685</xdr:colOff>
      <xdr:row>44</xdr:row>
      <xdr:rowOff>87249</xdr:rowOff>
    </xdr:to>
    <xdr:sp macro="" textlink="">
      <xdr:nvSpPr>
        <xdr:cNvPr id="38" name="Rectangle: Rounded Corners 37">
          <a:extLst>
            <a:ext uri="{FF2B5EF4-FFF2-40B4-BE49-F238E27FC236}">
              <a16:creationId xmlns:a16="http://schemas.microsoft.com/office/drawing/2014/main" id="{A0211338-4340-4D99-A3B7-9C7C8B69B5C6}"/>
            </a:ext>
          </a:extLst>
        </xdr:cNvPr>
        <xdr:cNvSpPr/>
      </xdr:nvSpPr>
      <xdr:spPr>
        <a:xfrm>
          <a:off x="6177726" y="6670929"/>
          <a:ext cx="4650584" cy="3474720"/>
        </a:xfrm>
        <a:prstGeom prst="roundRect">
          <a:avLst>
            <a:gd name="adj" fmla="val 5849"/>
          </a:avLst>
        </a:prstGeom>
        <a:gradFill flip="none" rotWithShape="1">
          <a:gsLst>
            <a:gs pos="0">
              <a:schemeClr val="tx1">
                <a:lumMod val="85000"/>
                <a:lumOff val="15000"/>
              </a:schemeClr>
            </a:gs>
            <a:gs pos="100000">
              <a:schemeClr val="tx1">
                <a:lumMod val="95000"/>
                <a:lumOff val="5000"/>
              </a:schemeClr>
            </a:gs>
          </a:gsLst>
          <a:lin ang="2700000" scaled="1"/>
          <a:tileRect/>
        </a:gradFill>
        <a:ln w="50800">
          <a:gradFill>
            <a:gsLst>
              <a:gs pos="0">
                <a:schemeClr val="tx1">
                  <a:lumMod val="75000"/>
                  <a:lumOff val="25000"/>
                </a:schemeClr>
              </a:gs>
              <a:gs pos="100000">
                <a:schemeClr val="tx1">
                  <a:lumMod val="75000"/>
                  <a:lumOff val="25000"/>
                </a:schemeClr>
              </a:gs>
            </a:gsLst>
            <a:lin ang="5400000" scaled="1"/>
          </a:gradFill>
        </a:ln>
        <a:effectLst>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493893</xdr:colOff>
      <xdr:row>11</xdr:row>
      <xdr:rowOff>43559</xdr:rowOff>
    </xdr:from>
    <xdr:to>
      <xdr:col>26</xdr:col>
      <xdr:colOff>169629</xdr:colOff>
      <xdr:row>17</xdr:row>
      <xdr:rowOff>34863</xdr:rowOff>
    </xdr:to>
    <mc:AlternateContent xmlns:mc="http://schemas.openxmlformats.org/markup-compatibility/2006" xmlns:a14="http://schemas.microsoft.com/office/drawing/2010/main">
      <mc:Choice Requires="a14">
        <xdr:graphicFrame macro="">
          <xdr:nvGraphicFramePr>
            <xdr:cNvPr id="39" name="Project Type 1">
              <a:extLst>
                <a:ext uri="{FF2B5EF4-FFF2-40B4-BE49-F238E27FC236}">
                  <a16:creationId xmlns:a16="http://schemas.microsoft.com/office/drawing/2014/main" id="{A376DE40-0871-44C2-8806-9A95A57DF119}"/>
                </a:ext>
              </a:extLst>
            </xdr:cNvPr>
            <xdr:cNvGraphicFramePr/>
          </xdr:nvGraphicFramePr>
          <xdr:xfrm>
            <a:off x="0" y="0"/>
            <a:ext cx="0" cy="0"/>
          </xdr:xfrm>
          <a:graphic>
            <a:graphicData uri="http://schemas.microsoft.com/office/drawing/2010/slicer">
              <sle:slicer xmlns:sle="http://schemas.microsoft.com/office/drawing/2010/slicer" name="Project Type 1"/>
            </a:graphicData>
          </a:graphic>
        </xdr:graphicFrame>
      </mc:Choice>
      <mc:Fallback xmlns="">
        <xdr:sp macro="" textlink="">
          <xdr:nvSpPr>
            <xdr:cNvPr id="0" name=""/>
            <xdr:cNvSpPr>
              <a:spLocks noTextEdit="1"/>
            </xdr:cNvSpPr>
          </xdr:nvSpPr>
          <xdr:spPr>
            <a:xfrm>
              <a:off x="16924518" y="2558159"/>
              <a:ext cx="1818861" cy="1362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493893</xdr:colOff>
      <xdr:row>17</xdr:row>
      <xdr:rowOff>93251</xdr:rowOff>
    </xdr:from>
    <xdr:to>
      <xdr:col>26</xdr:col>
      <xdr:colOff>169629</xdr:colOff>
      <xdr:row>23</xdr:row>
      <xdr:rowOff>98220</xdr:rowOff>
    </xdr:to>
    <mc:AlternateContent xmlns:mc="http://schemas.openxmlformats.org/markup-compatibility/2006" xmlns:a14="http://schemas.microsoft.com/office/drawing/2010/main">
      <mc:Choice Requires="a14">
        <xdr:graphicFrame macro="">
          <xdr:nvGraphicFramePr>
            <xdr:cNvPr id="40" name="Risk Index&#10;Based on (Commercial &amp; Financial Risk) 1">
              <a:extLst>
                <a:ext uri="{FF2B5EF4-FFF2-40B4-BE49-F238E27FC236}">
                  <a16:creationId xmlns:a16="http://schemas.microsoft.com/office/drawing/2014/main" id="{A492B6D4-F5B5-40D0-B2EA-03F262555DD2}"/>
                </a:ext>
              </a:extLst>
            </xdr:cNvPr>
            <xdr:cNvGraphicFramePr/>
          </xdr:nvGraphicFramePr>
          <xdr:xfrm>
            <a:off x="0" y="0"/>
            <a:ext cx="0" cy="0"/>
          </xdr:xfrm>
          <a:graphic>
            <a:graphicData uri="http://schemas.microsoft.com/office/drawing/2010/slicer">
              <sle:slicer xmlns:sle="http://schemas.microsoft.com/office/drawing/2010/slicer" name="Risk Index&#10;Based on (Commercial &amp; Financial Risk) 1"/>
            </a:graphicData>
          </a:graphic>
        </xdr:graphicFrame>
      </mc:Choice>
      <mc:Fallback xmlns="">
        <xdr:sp macro="" textlink="">
          <xdr:nvSpPr>
            <xdr:cNvPr id="0" name=""/>
            <xdr:cNvSpPr>
              <a:spLocks noTextEdit="1"/>
            </xdr:cNvSpPr>
          </xdr:nvSpPr>
          <xdr:spPr>
            <a:xfrm>
              <a:off x="16924518" y="3979451"/>
              <a:ext cx="1818861" cy="13765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493893</xdr:colOff>
      <xdr:row>23</xdr:row>
      <xdr:rowOff>156608</xdr:rowOff>
    </xdr:from>
    <xdr:to>
      <xdr:col>26</xdr:col>
      <xdr:colOff>169629</xdr:colOff>
      <xdr:row>29</xdr:row>
      <xdr:rowOff>158679</xdr:rowOff>
    </xdr:to>
    <mc:AlternateContent xmlns:mc="http://schemas.openxmlformats.org/markup-compatibility/2006" xmlns:a14="http://schemas.microsoft.com/office/drawing/2010/main">
      <mc:Choice Requires="a14">
        <xdr:graphicFrame macro="">
          <xdr:nvGraphicFramePr>
            <xdr:cNvPr id="41" name="Tender Type">
              <a:extLst>
                <a:ext uri="{FF2B5EF4-FFF2-40B4-BE49-F238E27FC236}">
                  <a16:creationId xmlns:a16="http://schemas.microsoft.com/office/drawing/2014/main" id="{E35108B6-7625-4C58-A99E-8EB94407ABDA}"/>
                </a:ext>
              </a:extLst>
            </xdr:cNvPr>
            <xdr:cNvGraphicFramePr/>
          </xdr:nvGraphicFramePr>
          <xdr:xfrm>
            <a:off x="0" y="0"/>
            <a:ext cx="0" cy="0"/>
          </xdr:xfrm>
          <a:graphic>
            <a:graphicData uri="http://schemas.microsoft.com/office/drawing/2010/slicer">
              <sle:slicer xmlns:sle="http://schemas.microsoft.com/office/drawing/2010/slicer" name="Tender Type"/>
            </a:graphicData>
          </a:graphic>
        </xdr:graphicFrame>
      </mc:Choice>
      <mc:Fallback xmlns="">
        <xdr:sp macro="" textlink="">
          <xdr:nvSpPr>
            <xdr:cNvPr id="0" name=""/>
            <xdr:cNvSpPr>
              <a:spLocks noTextEdit="1"/>
            </xdr:cNvSpPr>
          </xdr:nvSpPr>
          <xdr:spPr>
            <a:xfrm>
              <a:off x="16924518" y="5414408"/>
              <a:ext cx="1818861" cy="1373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373380</xdr:colOff>
      <xdr:row>9</xdr:row>
      <xdr:rowOff>95250</xdr:rowOff>
    </xdr:from>
    <xdr:to>
      <xdr:col>28</xdr:col>
      <xdr:colOff>590550</xdr:colOff>
      <xdr:row>44</xdr:row>
      <xdr:rowOff>95250</xdr:rowOff>
    </xdr:to>
    <xdr:sp macro="" textlink="">
      <xdr:nvSpPr>
        <xdr:cNvPr id="51" name="Rectangle: Rounded Corners 50">
          <a:extLst>
            <a:ext uri="{FF2B5EF4-FFF2-40B4-BE49-F238E27FC236}">
              <a16:creationId xmlns:a16="http://schemas.microsoft.com/office/drawing/2014/main" id="{2CAEA294-9F6C-4F51-8692-7962D0F805DB}"/>
            </a:ext>
          </a:extLst>
        </xdr:cNvPr>
        <xdr:cNvSpPr/>
      </xdr:nvSpPr>
      <xdr:spPr>
        <a:xfrm>
          <a:off x="18947130" y="2152650"/>
          <a:ext cx="1645920" cy="8001000"/>
        </a:xfrm>
        <a:prstGeom prst="roundRect">
          <a:avLst>
            <a:gd name="adj" fmla="val 13014"/>
          </a:avLst>
        </a:prstGeom>
        <a:gradFill flip="none" rotWithShape="1">
          <a:gsLst>
            <a:gs pos="100000">
              <a:schemeClr val="tx1">
                <a:lumMod val="85000"/>
                <a:lumOff val="15000"/>
              </a:schemeClr>
            </a:gs>
            <a:gs pos="100000">
              <a:schemeClr val="tx1">
                <a:lumMod val="95000"/>
                <a:lumOff val="5000"/>
              </a:schemeClr>
            </a:gs>
          </a:gsLst>
          <a:lin ang="2700000" scaled="1"/>
          <a:tileRect/>
        </a:gradFill>
        <a:ln w="50800">
          <a:gradFill>
            <a:gsLst>
              <a:gs pos="0">
                <a:schemeClr val="tx1">
                  <a:lumMod val="75000"/>
                  <a:lumOff val="25000"/>
                </a:schemeClr>
              </a:gs>
              <a:gs pos="100000">
                <a:schemeClr val="tx1">
                  <a:lumMod val="75000"/>
                  <a:lumOff val="25000"/>
                </a:schemeClr>
              </a:gs>
            </a:gsLst>
            <a:lin ang="5400000" scaled="1"/>
          </a:gradFill>
        </a:ln>
        <a:effectLst>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605876</xdr:colOff>
      <xdr:row>9</xdr:row>
      <xdr:rowOff>221977</xdr:rowOff>
    </xdr:from>
    <xdr:to>
      <xdr:col>24</xdr:col>
      <xdr:colOff>181391</xdr:colOff>
      <xdr:row>11</xdr:row>
      <xdr:rowOff>52183</xdr:rowOff>
    </xdr:to>
    <xdr:pic>
      <xdr:nvPicPr>
        <xdr:cNvPr id="53" name="Graphic 52" descr="Filter with solid fill">
          <a:extLst>
            <a:ext uri="{FF2B5EF4-FFF2-40B4-BE49-F238E27FC236}">
              <a16:creationId xmlns:a16="http://schemas.microsoft.com/office/drawing/2014/main" id="{A162C393-60DD-B796-DB10-3A2A4B92F09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7036501" y="2279377"/>
          <a:ext cx="289890" cy="287406"/>
        </a:xfrm>
        <a:prstGeom prst="rect">
          <a:avLst/>
        </a:prstGeom>
      </xdr:spPr>
    </xdr:pic>
    <xdr:clientData/>
  </xdr:twoCellAnchor>
  <xdr:twoCellAnchor editAs="oneCell">
    <xdr:from>
      <xdr:col>5</xdr:col>
      <xdr:colOff>487846</xdr:colOff>
      <xdr:row>10</xdr:row>
      <xdr:rowOff>213281</xdr:rowOff>
    </xdr:from>
    <xdr:to>
      <xdr:col>6</xdr:col>
      <xdr:colOff>402949</xdr:colOff>
      <xdr:row>13</xdr:row>
      <xdr:rowOff>152817</xdr:rowOff>
    </xdr:to>
    <xdr:pic>
      <xdr:nvPicPr>
        <xdr:cNvPr id="55" name="Graphic 54" descr="Signature with solid fill">
          <a:extLst>
            <a:ext uri="{FF2B5EF4-FFF2-40B4-BE49-F238E27FC236}">
              <a16:creationId xmlns:a16="http://schemas.microsoft.com/office/drawing/2014/main" id="{ACB56A2B-0609-91F7-3E3D-BC7D8ADDBFB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059721" y="2499281"/>
          <a:ext cx="629478" cy="625336"/>
        </a:xfrm>
        <a:prstGeom prst="rect">
          <a:avLst/>
        </a:prstGeom>
      </xdr:spPr>
    </xdr:pic>
    <xdr:clientData/>
  </xdr:twoCellAnchor>
  <xdr:twoCellAnchor editAs="oneCell">
    <xdr:from>
      <xdr:col>18</xdr:col>
      <xdr:colOff>629892</xdr:colOff>
      <xdr:row>11</xdr:row>
      <xdr:rowOff>5800</xdr:rowOff>
    </xdr:from>
    <xdr:to>
      <xdr:col>19</xdr:col>
      <xdr:colOff>533401</xdr:colOff>
      <xdr:row>13</xdr:row>
      <xdr:rowOff>162342</xdr:rowOff>
    </xdr:to>
    <xdr:pic>
      <xdr:nvPicPr>
        <xdr:cNvPr id="57" name="Graphic 56" descr="Radioactive with solid fill">
          <a:extLst>
            <a:ext uri="{FF2B5EF4-FFF2-40B4-BE49-F238E27FC236}">
              <a16:creationId xmlns:a16="http://schemas.microsoft.com/office/drawing/2014/main" id="{CB6C8F81-FB16-5122-B70F-39AF295D451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488642" y="2520400"/>
          <a:ext cx="617884" cy="613742"/>
        </a:xfrm>
        <a:prstGeom prst="rect">
          <a:avLst/>
        </a:prstGeom>
      </xdr:spPr>
    </xdr:pic>
    <xdr:clientData/>
  </xdr:twoCellAnchor>
  <xdr:twoCellAnchor editAs="oneCell">
    <xdr:from>
      <xdr:col>10</xdr:col>
      <xdr:colOff>35615</xdr:colOff>
      <xdr:row>11</xdr:row>
      <xdr:rowOff>21124</xdr:rowOff>
    </xdr:from>
    <xdr:to>
      <xdr:col>10</xdr:col>
      <xdr:colOff>628650</xdr:colOff>
      <xdr:row>13</xdr:row>
      <xdr:rowOff>152817</xdr:rowOff>
    </xdr:to>
    <xdr:pic>
      <xdr:nvPicPr>
        <xdr:cNvPr id="59" name="Graphic 58" descr="Clipboard with solid fill">
          <a:extLst>
            <a:ext uri="{FF2B5EF4-FFF2-40B4-BE49-F238E27FC236}">
              <a16:creationId xmlns:a16="http://schemas.microsoft.com/office/drawing/2014/main" id="{EEE983D9-FAA2-7762-C340-454F00C4112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179365" y="2535724"/>
          <a:ext cx="593035" cy="588893"/>
        </a:xfrm>
        <a:prstGeom prst="rect">
          <a:avLst/>
        </a:prstGeom>
      </xdr:spPr>
    </xdr:pic>
    <xdr:clientData/>
  </xdr:twoCellAnchor>
  <xdr:twoCellAnchor>
    <xdr:from>
      <xdr:col>8</xdr:col>
      <xdr:colOff>505238</xdr:colOff>
      <xdr:row>29</xdr:row>
      <xdr:rowOff>66675</xdr:rowOff>
    </xdr:from>
    <xdr:to>
      <xdr:col>15</xdr:col>
      <xdr:colOff>66674</xdr:colOff>
      <xdr:row>43</xdr:row>
      <xdr:rowOff>227356</xdr:rowOff>
    </xdr:to>
    <xdr:graphicFrame macro="">
      <xdr:nvGraphicFramePr>
        <xdr:cNvPr id="5" name="Chart 4">
          <a:extLst>
            <a:ext uri="{FF2B5EF4-FFF2-40B4-BE49-F238E27FC236}">
              <a16:creationId xmlns:a16="http://schemas.microsoft.com/office/drawing/2014/main" id="{88DE6ADA-B8AD-4049-A67E-4FDF5C82D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23</xdr:col>
      <xdr:colOff>493893</xdr:colOff>
      <xdr:row>36</xdr:row>
      <xdr:rowOff>46855</xdr:rowOff>
    </xdr:from>
    <xdr:to>
      <xdr:col>26</xdr:col>
      <xdr:colOff>167343</xdr:colOff>
      <xdr:row>42</xdr:row>
      <xdr:rowOff>53895</xdr:rowOff>
    </xdr:to>
    <mc:AlternateContent xmlns:mc="http://schemas.openxmlformats.org/markup-compatibility/2006" xmlns:a14="http://schemas.microsoft.com/office/drawing/2010/main">
      <mc:Choice Requires="a14">
        <xdr:graphicFrame macro="">
          <xdr:nvGraphicFramePr>
            <xdr:cNvPr id="10" name="Project Size">
              <a:extLst>
                <a:ext uri="{FF2B5EF4-FFF2-40B4-BE49-F238E27FC236}">
                  <a16:creationId xmlns:a16="http://schemas.microsoft.com/office/drawing/2014/main" id="{23DBCA16-316C-4847-8B2A-B509A4A33B4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ject Size"/>
            </a:graphicData>
          </a:graphic>
        </xdr:graphicFrame>
      </mc:Choice>
      <mc:Fallback xmlns="">
        <xdr:sp macro="" textlink="">
          <xdr:nvSpPr>
            <xdr:cNvPr id="0" name=""/>
            <xdr:cNvSpPr>
              <a:spLocks noTextEdit="1"/>
            </xdr:cNvSpPr>
          </xdr:nvSpPr>
          <xdr:spPr>
            <a:xfrm>
              <a:off x="16924518" y="8276455"/>
              <a:ext cx="1816575" cy="137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368510</xdr:colOff>
      <xdr:row>6</xdr:row>
      <xdr:rowOff>47625</xdr:rowOff>
    </xdr:from>
    <xdr:to>
      <xdr:col>28</xdr:col>
      <xdr:colOff>581024</xdr:colOff>
      <xdr:row>8</xdr:row>
      <xdr:rowOff>180975</xdr:rowOff>
    </xdr:to>
    <xdr:sp macro="" textlink="">
      <xdr:nvSpPr>
        <xdr:cNvPr id="12" name="Rectangle: Rounded Corners 11">
          <a:extLst>
            <a:ext uri="{FF2B5EF4-FFF2-40B4-BE49-F238E27FC236}">
              <a16:creationId xmlns:a16="http://schemas.microsoft.com/office/drawing/2014/main" id="{9D1E01B9-4656-4993-8C5F-80971554C0E3}"/>
            </a:ext>
          </a:extLst>
        </xdr:cNvPr>
        <xdr:cNvSpPr/>
      </xdr:nvSpPr>
      <xdr:spPr>
        <a:xfrm>
          <a:off x="368510" y="1419225"/>
          <a:ext cx="20215014" cy="590550"/>
        </a:xfrm>
        <a:prstGeom prst="roundRect">
          <a:avLst>
            <a:gd name="adj" fmla="val 41435"/>
          </a:avLst>
        </a:prstGeom>
        <a:solidFill>
          <a:schemeClr val="tx1">
            <a:lumMod val="85000"/>
            <a:lumOff val="15000"/>
          </a:schemeClr>
        </a:solidFill>
        <a:ln w="50800">
          <a:gradFill>
            <a:gsLst>
              <a:gs pos="0">
                <a:schemeClr val="tx1">
                  <a:lumMod val="75000"/>
                  <a:lumOff val="25000"/>
                </a:schemeClr>
              </a:gs>
              <a:gs pos="100000">
                <a:schemeClr val="tx1">
                  <a:lumMod val="75000"/>
                  <a:lumOff val="25000"/>
                </a:schemeClr>
              </a:gs>
            </a:gsLst>
            <a:lin ang="5400000" scaled="1"/>
          </a:gradFill>
        </a:ln>
        <a:effectLst>
          <a:outerShdw blurRad="63500" sx="1000" sy="1000" algn="ctr" rotWithShape="0">
            <a:schemeClr val="tx1">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14</xdr:col>
      <xdr:colOff>466725</xdr:colOff>
      <xdr:row>33</xdr:row>
      <xdr:rowOff>38100</xdr:rowOff>
    </xdr:from>
    <xdr:to>
      <xdr:col>20</xdr:col>
      <xdr:colOff>458443</xdr:colOff>
      <xdr:row>48</xdr:row>
      <xdr:rowOff>21535</xdr:rowOff>
    </xdr:to>
    <xdr:graphicFrame macro="">
      <xdr:nvGraphicFramePr>
        <xdr:cNvPr id="2" name="Chart 1">
          <a:extLst>
            <a:ext uri="{FF2B5EF4-FFF2-40B4-BE49-F238E27FC236}">
              <a16:creationId xmlns:a16="http://schemas.microsoft.com/office/drawing/2014/main" id="{C10A02C2-8B50-4A43-98AC-7965DA187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26</xdr:col>
      <xdr:colOff>421005</xdr:colOff>
      <xdr:row>10</xdr:row>
      <xdr:rowOff>28575</xdr:rowOff>
    </xdr:from>
    <xdr:to>
      <xdr:col>28</xdr:col>
      <xdr:colOff>535305</xdr:colOff>
      <xdr:row>42</xdr:row>
      <xdr:rowOff>200025</xdr:rowOff>
    </xdr:to>
    <mc:AlternateContent xmlns:mc="http://schemas.openxmlformats.org/markup-compatibility/2006" xmlns:a14="http://schemas.microsoft.com/office/drawing/2010/main">
      <mc:Choice Requires="a14">
        <xdr:graphicFrame macro="">
          <xdr:nvGraphicFramePr>
            <xdr:cNvPr id="13" name="Location of Project">
              <a:extLst>
                <a:ext uri="{FF2B5EF4-FFF2-40B4-BE49-F238E27FC236}">
                  <a16:creationId xmlns:a16="http://schemas.microsoft.com/office/drawing/2014/main" id="{DCD580DF-A954-4B0D-AA9A-62C5F0D4A346}"/>
                </a:ext>
              </a:extLst>
            </xdr:cNvPr>
            <xdr:cNvGraphicFramePr/>
          </xdr:nvGraphicFramePr>
          <xdr:xfrm>
            <a:off x="0" y="0"/>
            <a:ext cx="0" cy="0"/>
          </xdr:xfrm>
          <a:graphic>
            <a:graphicData uri="http://schemas.microsoft.com/office/drawing/2010/slicer">
              <sle:slicer xmlns:sle="http://schemas.microsoft.com/office/drawing/2010/slicer" name="Location of Project"/>
            </a:graphicData>
          </a:graphic>
        </xdr:graphicFrame>
      </mc:Choice>
      <mc:Fallback xmlns="">
        <xdr:sp macro="" textlink="">
          <xdr:nvSpPr>
            <xdr:cNvPr id="0" name=""/>
            <xdr:cNvSpPr>
              <a:spLocks noTextEdit="1"/>
            </xdr:cNvSpPr>
          </xdr:nvSpPr>
          <xdr:spPr>
            <a:xfrm>
              <a:off x="18994755" y="2314575"/>
              <a:ext cx="1543050" cy="7486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444710</xdr:colOff>
      <xdr:row>15</xdr:row>
      <xdr:rowOff>9525</xdr:rowOff>
    </xdr:from>
    <xdr:to>
      <xdr:col>5</xdr:col>
      <xdr:colOff>666750</xdr:colOff>
      <xdr:row>28</xdr:row>
      <xdr:rowOff>66674</xdr:rowOff>
    </xdr:to>
    <xdr:graphicFrame macro="">
      <xdr:nvGraphicFramePr>
        <xdr:cNvPr id="15" name="Chart 14">
          <a:extLst>
            <a:ext uri="{FF2B5EF4-FFF2-40B4-BE49-F238E27FC236}">
              <a16:creationId xmlns:a16="http://schemas.microsoft.com/office/drawing/2014/main" id="{0CFF1A62-FE00-4642-8DE0-134389D29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xdr:col>
      <xdr:colOff>82758</xdr:colOff>
      <xdr:row>6</xdr:row>
      <xdr:rowOff>95250</xdr:rowOff>
    </xdr:from>
    <xdr:to>
      <xdr:col>28</xdr:col>
      <xdr:colOff>123825</xdr:colOff>
      <xdr:row>8</xdr:row>
      <xdr:rowOff>171450</xdr:rowOff>
    </xdr:to>
    <mc:AlternateContent xmlns:mc="http://schemas.openxmlformats.org/markup-compatibility/2006" xmlns:a14="http://schemas.microsoft.com/office/drawing/2010/main">
      <mc:Choice Requires="a14">
        <xdr:graphicFrame macro="">
          <xdr:nvGraphicFramePr>
            <xdr:cNvPr id="16" name="Month Slicer Column">
              <a:extLst>
                <a:ext uri="{FF2B5EF4-FFF2-40B4-BE49-F238E27FC236}">
                  <a16:creationId xmlns:a16="http://schemas.microsoft.com/office/drawing/2014/main" id="{B3E09A9D-71D3-4BD2-B88A-5CE15AFA3AC8}"/>
                </a:ext>
              </a:extLst>
            </xdr:cNvPr>
            <xdr:cNvGraphicFramePr/>
          </xdr:nvGraphicFramePr>
          <xdr:xfrm>
            <a:off x="0" y="0"/>
            <a:ext cx="0" cy="0"/>
          </xdr:xfrm>
          <a:graphic>
            <a:graphicData uri="http://schemas.microsoft.com/office/drawing/2010/slicer">
              <sle:slicer xmlns:sle="http://schemas.microsoft.com/office/drawing/2010/slicer" name="Month Slicer Column"/>
            </a:graphicData>
          </a:graphic>
        </xdr:graphicFrame>
      </mc:Choice>
      <mc:Fallback xmlns="">
        <xdr:sp macro="" textlink="">
          <xdr:nvSpPr>
            <xdr:cNvPr id="0" name=""/>
            <xdr:cNvSpPr>
              <a:spLocks noTextEdit="1"/>
            </xdr:cNvSpPr>
          </xdr:nvSpPr>
          <xdr:spPr>
            <a:xfrm>
              <a:off x="797133" y="1466850"/>
              <a:ext cx="19329192" cy="533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209549</xdr:colOff>
      <xdr:row>15</xdr:row>
      <xdr:rowOff>1</xdr:rowOff>
    </xdr:from>
    <xdr:to>
      <xdr:col>23</xdr:col>
      <xdr:colOff>209549</xdr:colOff>
      <xdr:row>28</xdr:row>
      <xdr:rowOff>57151</xdr:rowOff>
    </xdr:to>
    <xdr:graphicFrame macro="">
      <xdr:nvGraphicFramePr>
        <xdr:cNvPr id="35" name="Chart 34">
          <a:extLst>
            <a:ext uri="{FF2B5EF4-FFF2-40B4-BE49-F238E27FC236}">
              <a16:creationId xmlns:a16="http://schemas.microsoft.com/office/drawing/2014/main" id="{7D2E34E4-1726-4973-941F-6045CAAF0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23</xdr:col>
      <xdr:colOff>482864</xdr:colOff>
      <xdr:row>29</xdr:row>
      <xdr:rowOff>217067</xdr:rowOff>
    </xdr:from>
    <xdr:to>
      <xdr:col>26</xdr:col>
      <xdr:colOff>159395</xdr:colOff>
      <xdr:row>35</xdr:row>
      <xdr:rowOff>217067</xdr:rowOff>
    </xdr:to>
    <mc:AlternateContent xmlns:mc="http://schemas.openxmlformats.org/markup-compatibility/2006" xmlns:a14="http://schemas.microsoft.com/office/drawing/2010/main">
      <mc:Choice Requires="a14">
        <xdr:graphicFrame macro="">
          <xdr:nvGraphicFramePr>
            <xdr:cNvPr id="14" name="Client Category&#10;(Sector)">
              <a:extLst>
                <a:ext uri="{FF2B5EF4-FFF2-40B4-BE49-F238E27FC236}">
                  <a16:creationId xmlns:a16="http://schemas.microsoft.com/office/drawing/2014/main" id="{77EBAF47-7254-4C40-9A6B-96ACBE02A10D}"/>
                </a:ext>
              </a:extLst>
            </xdr:cNvPr>
            <xdr:cNvGraphicFramePr/>
          </xdr:nvGraphicFramePr>
          <xdr:xfrm>
            <a:off x="0" y="0"/>
            <a:ext cx="0" cy="0"/>
          </xdr:xfrm>
          <a:graphic>
            <a:graphicData uri="http://schemas.microsoft.com/office/drawing/2010/slicer">
              <sle:slicer xmlns:sle="http://schemas.microsoft.com/office/drawing/2010/slicer" name="Client Category&#10;(Sector)"/>
            </a:graphicData>
          </a:graphic>
        </xdr:graphicFrame>
      </mc:Choice>
      <mc:Fallback xmlns="">
        <xdr:sp macro="" textlink="">
          <xdr:nvSpPr>
            <xdr:cNvPr id="0" name=""/>
            <xdr:cNvSpPr>
              <a:spLocks noTextEdit="1"/>
            </xdr:cNvSpPr>
          </xdr:nvSpPr>
          <xdr:spPr>
            <a:xfrm>
              <a:off x="16913489" y="6846467"/>
              <a:ext cx="1819656"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0.69549</cdr:x>
      <cdr:y>0.25867</cdr:y>
    </cdr:from>
    <cdr:to>
      <cdr:x>0.84293</cdr:x>
      <cdr:y>0.48837</cdr:y>
    </cdr:to>
    <cdr:sp macro="" textlink="'Data Processor'!$B$3">
      <cdr:nvSpPr>
        <cdr:cNvPr id="2" name="TextBox 1">
          <a:extLst xmlns:a="http://schemas.openxmlformats.org/drawingml/2006/main">
            <a:ext uri="{FF2B5EF4-FFF2-40B4-BE49-F238E27FC236}">
              <a16:creationId xmlns:a16="http://schemas.microsoft.com/office/drawing/2014/main" id="{BA7B4F6B-2AE7-2D8E-8E52-D5E3BA7A4848}"/>
            </a:ext>
          </a:extLst>
        </cdr:cNvPr>
        <cdr:cNvSpPr txBox="1"/>
      </cdr:nvSpPr>
      <cdr:spPr>
        <a:xfrm xmlns:a="http://schemas.openxmlformats.org/drawingml/2006/main">
          <a:off x="3865252" y="833194"/>
          <a:ext cx="819418" cy="73988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83F758AD-2542-4D99-9517-F39E45A9897F}" type="TxLink">
            <a:rPr lang="en-US" sz="2400" b="0" i="0" u="none" strike="noStrike" kern="1200">
              <a:solidFill>
                <a:schemeClr val="bg1">
                  <a:lumMod val="75000"/>
                </a:schemeClr>
              </a:solidFill>
              <a:latin typeface="Georgia"/>
            </a:rPr>
            <a:pPr algn="ctr"/>
            <a:t>22</a:t>
          </a:fld>
          <a:endParaRPr lang="en-US" sz="2400" b="0" kern="1200">
            <a:solidFill>
              <a:schemeClr val="bg1">
                <a:lumMod val="75000"/>
              </a:schemeClr>
            </a:solidFill>
          </a:endParaRPr>
        </a:p>
      </cdr:txBody>
    </cdr:sp>
  </cdr:relSizeAnchor>
  <cdr:relSizeAnchor xmlns:cdr="http://schemas.openxmlformats.org/drawingml/2006/chartDrawing">
    <cdr:from>
      <cdr:x>0.66372</cdr:x>
      <cdr:y>0.36759</cdr:y>
    </cdr:from>
    <cdr:to>
      <cdr:x>0.878</cdr:x>
      <cdr:y>0.59729</cdr:y>
    </cdr:to>
    <cdr:sp macro="" textlink="">
      <cdr:nvSpPr>
        <cdr:cNvPr id="3" name="TextBox 1">
          <a:extLst xmlns:a="http://schemas.openxmlformats.org/drawingml/2006/main">
            <a:ext uri="{FF2B5EF4-FFF2-40B4-BE49-F238E27FC236}">
              <a16:creationId xmlns:a16="http://schemas.microsoft.com/office/drawing/2014/main" id="{7464623C-1D80-B60F-AFAB-5A9C9666EAD2}"/>
            </a:ext>
          </a:extLst>
        </cdr:cNvPr>
        <cdr:cNvSpPr txBox="1"/>
      </cdr:nvSpPr>
      <cdr:spPr>
        <a:xfrm xmlns:a="http://schemas.openxmlformats.org/drawingml/2006/main">
          <a:off x="3688733" y="1184040"/>
          <a:ext cx="1190889" cy="739888"/>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0" kern="1200">
              <a:solidFill>
                <a:schemeClr val="bg1">
                  <a:lumMod val="75000"/>
                </a:schemeClr>
              </a:solidFill>
              <a:latin typeface="Georgia" panose="02040502050405020303" pitchFamily="18" charset="0"/>
            </a:rPr>
            <a:t>Projects</a:t>
          </a:r>
        </a:p>
      </cdr:txBody>
    </cdr:sp>
  </cdr:relSizeAnchor>
  <cdr:relSizeAnchor xmlns:cdr="http://schemas.openxmlformats.org/drawingml/2006/chartDrawing">
    <cdr:from>
      <cdr:x>0.14645</cdr:x>
      <cdr:y>0.70181</cdr:y>
    </cdr:from>
    <cdr:to>
      <cdr:x>0.36073</cdr:x>
      <cdr:y>0.93151</cdr:y>
    </cdr:to>
    <cdr:sp macro="" textlink="">
      <cdr:nvSpPr>
        <cdr:cNvPr id="5" name="TextBox 1">
          <a:extLst xmlns:a="http://schemas.openxmlformats.org/drawingml/2006/main">
            <a:ext uri="{FF2B5EF4-FFF2-40B4-BE49-F238E27FC236}">
              <a16:creationId xmlns:a16="http://schemas.microsoft.com/office/drawing/2014/main" id="{2BE63D53-4EE2-8534-D9FE-31500A66E894}"/>
            </a:ext>
          </a:extLst>
        </cdr:cNvPr>
        <cdr:cNvSpPr txBox="1"/>
      </cdr:nvSpPr>
      <cdr:spPr>
        <a:xfrm xmlns:a="http://schemas.openxmlformats.org/drawingml/2006/main">
          <a:off x="813915" y="2260607"/>
          <a:ext cx="1190889" cy="73988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0" kern="1200">
              <a:solidFill>
                <a:schemeClr val="bg1">
                  <a:lumMod val="75000"/>
                </a:schemeClr>
              </a:solidFill>
              <a:latin typeface="Georgia" panose="02040502050405020303" pitchFamily="18" charset="0"/>
            </a:rPr>
            <a:t>RISK</a:t>
          </a:r>
        </a:p>
        <a:p xmlns:a="http://schemas.openxmlformats.org/drawingml/2006/main">
          <a:pPr algn="ctr"/>
          <a:r>
            <a:rPr lang="en-US" sz="900" b="0" kern="1200">
              <a:solidFill>
                <a:schemeClr val="bg1">
                  <a:lumMod val="75000"/>
                </a:schemeClr>
              </a:solidFill>
              <a:latin typeface="Georgia" panose="02040502050405020303" pitchFamily="18" charset="0"/>
            </a:rPr>
            <a:t>            SCORE</a:t>
          </a:r>
          <a:endParaRPr lang="en-US" sz="1200" b="0" kern="1200">
            <a:solidFill>
              <a:schemeClr val="bg1">
                <a:lumMod val="75000"/>
              </a:schemeClr>
            </a:solidFill>
            <a:latin typeface="Georgia" panose="02040502050405020303" pitchFamily="18"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37</xdr:col>
      <xdr:colOff>197826</xdr:colOff>
      <xdr:row>55</xdr:row>
      <xdr:rowOff>0</xdr:rowOff>
    </xdr:to>
    <xdr:grpSp>
      <xdr:nvGrpSpPr>
        <xdr:cNvPr id="2" name="Group 1">
          <a:extLst>
            <a:ext uri="{FF2B5EF4-FFF2-40B4-BE49-F238E27FC236}">
              <a16:creationId xmlns:a16="http://schemas.microsoft.com/office/drawing/2014/main" id="{EE0C3607-6498-493D-BA09-ED1C015BAA40}"/>
            </a:ext>
          </a:extLst>
        </xdr:cNvPr>
        <xdr:cNvGrpSpPr/>
      </xdr:nvGrpSpPr>
      <xdr:grpSpPr>
        <a:xfrm>
          <a:off x="0" y="0"/>
          <a:ext cx="22156614" cy="10477500"/>
          <a:chOff x="1538344" y="742278"/>
          <a:chExt cx="8961120" cy="5432611"/>
        </a:xfrm>
      </xdr:grpSpPr>
      <xdr:sp macro="" textlink="">
        <xdr:nvSpPr>
          <xdr:cNvPr id="3" name="Rectangle 2">
            <a:extLst>
              <a:ext uri="{FF2B5EF4-FFF2-40B4-BE49-F238E27FC236}">
                <a16:creationId xmlns:a16="http://schemas.microsoft.com/office/drawing/2014/main" id="{9784EF65-42BF-1AA2-A750-7C03F0B15DF1}"/>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273D1F6F-81F0-E342-3B1C-2F70D53F20F9}"/>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392238</xdr:colOff>
      <xdr:row>0</xdr:row>
      <xdr:rowOff>167640</xdr:rowOff>
    </xdr:from>
    <xdr:to>
      <xdr:col>23</xdr:col>
      <xdr:colOff>190500</xdr:colOff>
      <xdr:row>40</xdr:row>
      <xdr:rowOff>167640</xdr:rowOff>
    </xdr:to>
    <xdr:sp macro="" textlink="">
      <xdr:nvSpPr>
        <xdr:cNvPr id="5" name="Rectangle: Rounded Corners 4">
          <a:extLst>
            <a:ext uri="{FF2B5EF4-FFF2-40B4-BE49-F238E27FC236}">
              <a16:creationId xmlns:a16="http://schemas.microsoft.com/office/drawing/2014/main" id="{2E371124-6558-42D8-9B90-323D40E245BA}"/>
            </a:ext>
          </a:extLst>
        </xdr:cNvPr>
        <xdr:cNvSpPr/>
      </xdr:nvSpPr>
      <xdr:spPr>
        <a:xfrm>
          <a:off x="392238" y="167640"/>
          <a:ext cx="13448320" cy="7620000"/>
        </a:xfrm>
        <a:prstGeom prst="roundRect">
          <a:avLst>
            <a:gd name="adj" fmla="val 6581"/>
          </a:avLst>
        </a:prstGeom>
        <a:solidFill>
          <a:schemeClr val="bg1"/>
        </a:solidFill>
        <a:ln w="9525">
          <a:gradFill flip="none" rotWithShape="1">
            <a:gsLst>
              <a:gs pos="0">
                <a:srgbClr val="4647A6"/>
              </a:gs>
              <a:gs pos="100000">
                <a:srgbClr val="333787"/>
              </a:gs>
            </a:gsLst>
            <a:lin ang="8100000" scaled="1"/>
            <a:tileRect/>
          </a:gradFill>
        </a:ln>
        <a:effectLst>
          <a:outerShdw blurRad="444500" dist="190500" dir="8100000" algn="tr" rotWithShape="0">
            <a:srgbClr val="0D328D">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ru-RU" sz="1800" kern="1200">
              <a:solidFill>
                <a:schemeClr val="lt1"/>
              </a:solidFill>
              <a:latin typeface="+mn-lt"/>
              <a:ea typeface="+mn-ea"/>
              <a:cs typeface="+mn-cs"/>
            </a:rPr>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6" name="Rectangle: Rounded Corners 5">
          <a:extLst>
            <a:ext uri="{FF2B5EF4-FFF2-40B4-BE49-F238E27FC236}">
              <a16:creationId xmlns:a16="http://schemas.microsoft.com/office/drawing/2014/main" id="{064DE1C5-A7D7-4EAF-8148-66E7322BA148}"/>
            </a:ext>
          </a:extLst>
        </xdr:cNvPr>
        <xdr:cNvSpPr/>
      </xdr:nvSpPr>
      <xdr:spPr>
        <a:xfrm>
          <a:off x="720934" y="643590"/>
          <a:ext cx="12744450" cy="9824085"/>
        </a:xfrm>
        <a:prstGeom prst="roundRect">
          <a:avLst>
            <a:gd name="adj" fmla="val 5042"/>
          </a:avLst>
        </a:prstGeom>
        <a:solidFill>
          <a:schemeClr val="bg1"/>
        </a:solidFill>
        <a:ln w="9525">
          <a:noFill/>
        </a:ln>
        <a:effectLst>
          <a:outerShdw blurRad="254000" dist="101600" dir="8100000" algn="tr" rotWithShape="0">
            <a:srgbClr val="0D328D">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8</xdr:col>
      <xdr:colOff>404329</xdr:colOff>
      <xdr:row>6</xdr:row>
      <xdr:rowOff>91402</xdr:rowOff>
    </xdr:to>
    <xdr:sp macro="" textlink="">
      <xdr:nvSpPr>
        <xdr:cNvPr id="7" name="Rectangle: Rounded Corners 6">
          <a:extLst>
            <a:ext uri="{FF2B5EF4-FFF2-40B4-BE49-F238E27FC236}">
              <a16:creationId xmlns:a16="http://schemas.microsoft.com/office/drawing/2014/main" id="{C1EBB5E2-14C5-45E5-A447-9B1BB83234E4}"/>
            </a:ext>
          </a:extLst>
        </xdr:cNvPr>
        <xdr:cNvSpPr/>
      </xdr:nvSpPr>
      <xdr:spPr>
        <a:xfrm>
          <a:off x="2472983" y="785019"/>
          <a:ext cx="2679192" cy="449383"/>
        </a:xfrm>
        <a:prstGeom prst="roundRect">
          <a:avLst>
            <a:gd name="adj" fmla="val 4271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7</xdr:row>
      <xdr:rowOff>140948</xdr:rowOff>
    </xdr:from>
    <xdr:to>
      <xdr:col>13</xdr:col>
      <xdr:colOff>259080</xdr:colOff>
      <xdr:row>21</xdr:row>
      <xdr:rowOff>178167</xdr:rowOff>
    </xdr:to>
    <xdr:sp macro="" textlink="">
      <xdr:nvSpPr>
        <xdr:cNvPr id="8" name="Rectangle: Rounded Corners 7">
          <a:extLst>
            <a:ext uri="{FF2B5EF4-FFF2-40B4-BE49-F238E27FC236}">
              <a16:creationId xmlns:a16="http://schemas.microsoft.com/office/drawing/2014/main" id="{D49F1AAF-5A9B-4C11-BAFA-7A187401B033}"/>
            </a:ext>
          </a:extLst>
        </xdr:cNvPr>
        <xdr:cNvSpPr/>
      </xdr:nvSpPr>
      <xdr:spPr>
        <a:xfrm>
          <a:off x="2472983" y="1474448"/>
          <a:ext cx="5501347" cy="2704219"/>
        </a:xfrm>
        <a:prstGeom prst="roundRect">
          <a:avLst>
            <a:gd name="adj" fmla="val 7935"/>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521694</xdr:colOff>
      <xdr:row>7</xdr:row>
      <xdr:rowOff>140948</xdr:rowOff>
    </xdr:from>
    <xdr:to>
      <xdr:col>22</xdr:col>
      <xdr:colOff>183490</xdr:colOff>
      <xdr:row>21</xdr:row>
      <xdr:rowOff>178167</xdr:rowOff>
    </xdr:to>
    <xdr:sp macro="" textlink="">
      <xdr:nvSpPr>
        <xdr:cNvPr id="9" name="Rectangle: Rounded Corners 8">
          <a:extLst>
            <a:ext uri="{FF2B5EF4-FFF2-40B4-BE49-F238E27FC236}">
              <a16:creationId xmlns:a16="http://schemas.microsoft.com/office/drawing/2014/main" id="{F45738E3-E1D4-4C26-8FE1-F254F21EB68B}"/>
            </a:ext>
          </a:extLst>
        </xdr:cNvPr>
        <xdr:cNvSpPr/>
      </xdr:nvSpPr>
      <xdr:spPr>
        <a:xfrm>
          <a:off x="8236944" y="1474448"/>
          <a:ext cx="5003123" cy="2704219"/>
        </a:xfrm>
        <a:prstGeom prst="roundRect">
          <a:avLst>
            <a:gd name="adj" fmla="val 858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121589</xdr:colOff>
      <xdr:row>23</xdr:row>
      <xdr:rowOff>95228</xdr:rowOff>
    </xdr:from>
    <xdr:to>
      <xdr:col>11</xdr:col>
      <xdr:colOff>505557</xdr:colOff>
      <xdr:row>37</xdr:row>
      <xdr:rowOff>95228</xdr:rowOff>
    </xdr:to>
    <xdr:sp macro="" textlink="">
      <xdr:nvSpPr>
        <xdr:cNvPr id="11" name="Rectangle: Rounded Corners 10">
          <a:extLst>
            <a:ext uri="{FF2B5EF4-FFF2-40B4-BE49-F238E27FC236}">
              <a16:creationId xmlns:a16="http://schemas.microsoft.com/office/drawing/2014/main" id="{FE749B24-6A55-414A-8EB5-FE7429F5FB54}"/>
            </a:ext>
          </a:extLst>
        </xdr:cNvPr>
        <xdr:cNvSpPr/>
      </xdr:nvSpPr>
      <xdr:spPr>
        <a:xfrm>
          <a:off x="2495512" y="4476728"/>
          <a:ext cx="4538333" cy="2667000"/>
        </a:xfrm>
        <a:prstGeom prst="roundRect">
          <a:avLst>
            <a:gd name="adj" fmla="val 7935"/>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15</xdr:col>
      <xdr:colOff>420288</xdr:colOff>
      <xdr:row>23</xdr:row>
      <xdr:rowOff>73269</xdr:rowOff>
    </xdr:from>
    <xdr:to>
      <xdr:col>22</xdr:col>
      <xdr:colOff>183490</xdr:colOff>
      <xdr:row>37</xdr:row>
      <xdr:rowOff>95228</xdr:rowOff>
    </xdr:to>
    <xdr:sp macro="" textlink="">
      <xdr:nvSpPr>
        <xdr:cNvPr id="12" name="Rectangle: Rounded Corners 11">
          <a:extLst>
            <a:ext uri="{FF2B5EF4-FFF2-40B4-BE49-F238E27FC236}">
              <a16:creationId xmlns:a16="http://schemas.microsoft.com/office/drawing/2014/main" id="{551D0AE9-45EA-4BDD-80A3-0A3A4AE4CCED}"/>
            </a:ext>
          </a:extLst>
        </xdr:cNvPr>
        <xdr:cNvSpPr/>
      </xdr:nvSpPr>
      <xdr:spPr>
        <a:xfrm>
          <a:off x="9322500" y="4454769"/>
          <a:ext cx="3917567" cy="2688959"/>
        </a:xfrm>
        <a:prstGeom prst="roundRect">
          <a:avLst>
            <a:gd name="adj" fmla="val 6885"/>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384708</xdr:colOff>
      <xdr:row>7</xdr:row>
      <xdr:rowOff>140948</xdr:rowOff>
    </xdr:from>
    <xdr:to>
      <xdr:col>3</xdr:col>
      <xdr:colOff>447169</xdr:colOff>
      <xdr:row>14</xdr:row>
      <xdr:rowOff>60176</xdr:rowOff>
    </xdr:to>
    <xdr:sp macro="" textlink="">
      <xdr:nvSpPr>
        <xdr:cNvPr id="14" name="Rectangle: Rounded Corners 13">
          <a:extLst>
            <a:ext uri="{FF2B5EF4-FFF2-40B4-BE49-F238E27FC236}">
              <a16:creationId xmlns:a16="http://schemas.microsoft.com/office/drawing/2014/main" id="{CCE557A5-A753-42AB-90F6-D08034952B96}"/>
            </a:ext>
          </a:extLst>
        </xdr:cNvPr>
        <xdr:cNvSpPr/>
      </xdr:nvSpPr>
      <xdr:spPr>
        <a:xfrm>
          <a:off x="978189" y="1474448"/>
          <a:ext cx="1249422" cy="1252728"/>
        </a:xfrm>
        <a:prstGeom prst="roundRect">
          <a:avLst>
            <a:gd name="adj" fmla="val 18817"/>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600" kern="1200">
              <a:solidFill>
                <a:schemeClr val="bg1">
                  <a:lumMod val="50000"/>
                </a:schemeClr>
              </a:solidFill>
              <a:latin typeface="+mn-lt"/>
              <a:ea typeface="+mn-ea"/>
              <a:cs typeface="+mn-cs"/>
            </a:rPr>
            <a:t>Active Projects </a:t>
          </a:r>
          <a:endParaRPr lang="ru-RU" sz="1600" kern="1200">
            <a:solidFill>
              <a:schemeClr val="bg1">
                <a:lumMod val="50000"/>
              </a:schemeClr>
            </a:solidFill>
            <a:latin typeface="+mn-lt"/>
            <a:ea typeface="+mn-ea"/>
            <a:cs typeface="+mn-cs"/>
          </a:endParaRPr>
        </a:p>
      </xdr:txBody>
    </xdr:sp>
    <xdr:clientData/>
  </xdr:twoCellAnchor>
  <xdr:twoCellAnchor>
    <xdr:from>
      <xdr:col>12</xdr:col>
      <xdr:colOff>145348</xdr:colOff>
      <xdr:row>23</xdr:row>
      <xdr:rowOff>73269</xdr:rowOff>
    </xdr:from>
    <xdr:to>
      <xdr:col>15</xdr:col>
      <xdr:colOff>193705</xdr:colOff>
      <xdr:row>37</xdr:row>
      <xdr:rowOff>76317</xdr:rowOff>
    </xdr:to>
    <xdr:sp macro="" textlink="">
      <xdr:nvSpPr>
        <xdr:cNvPr id="15" name="Rectangle: Rounded Corners 14">
          <a:extLst>
            <a:ext uri="{FF2B5EF4-FFF2-40B4-BE49-F238E27FC236}">
              <a16:creationId xmlns:a16="http://schemas.microsoft.com/office/drawing/2014/main" id="{798BD533-E7F7-4C22-93E0-882401F8D398}"/>
            </a:ext>
          </a:extLst>
        </xdr:cNvPr>
        <xdr:cNvSpPr/>
      </xdr:nvSpPr>
      <xdr:spPr>
        <a:xfrm>
          <a:off x="7267117" y="4454769"/>
          <a:ext cx="1828800" cy="2670048"/>
        </a:xfrm>
        <a:prstGeom prst="roundRect">
          <a:avLst>
            <a:gd name="adj" fmla="val 1557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377374</xdr:colOff>
      <xdr:row>23</xdr:row>
      <xdr:rowOff>147775</xdr:rowOff>
    </xdr:from>
    <xdr:to>
      <xdr:col>9</xdr:col>
      <xdr:colOff>533400</xdr:colOff>
      <xdr:row>25</xdr:row>
      <xdr:rowOff>45721</xdr:rowOff>
    </xdr:to>
    <xdr:sp macro="" textlink="[1]Processing!AG25">
      <xdr:nvSpPr>
        <xdr:cNvPr id="78" name="TextBox 77">
          <a:extLst>
            <a:ext uri="{FF2B5EF4-FFF2-40B4-BE49-F238E27FC236}">
              <a16:creationId xmlns:a16="http://schemas.microsoft.com/office/drawing/2014/main" id="{ED933FAB-CEA1-4E53-BE8B-2BDE99D3A8EA}"/>
            </a:ext>
          </a:extLst>
        </xdr:cNvPr>
        <xdr:cNvSpPr txBox="1"/>
      </xdr:nvSpPr>
      <xdr:spPr>
        <a:xfrm>
          <a:off x="5101774" y="4529275"/>
          <a:ext cx="746576" cy="278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6A7B96B-7B5C-45F0-AD70-C159F71DAB51}" type="TxLink">
            <a:rPr lang="en-US" sz="1200" b="0" i="0" u="none" strike="noStrike">
              <a:solidFill>
                <a:srgbClr val="455177"/>
              </a:solidFill>
              <a:latin typeface="Aptos Narrow"/>
              <a:ea typeface="+mn-ea"/>
              <a:cs typeface="+mn-cs"/>
            </a:rPr>
            <a:pPr marL="0" indent="0" algn="l"/>
            <a:t> </a:t>
          </a:fld>
          <a:endParaRPr lang="ru-RU" sz="1200" b="0" i="0" u="none" strike="noStrike">
            <a:solidFill>
              <a:srgbClr val="455177"/>
            </a:solidFill>
            <a:latin typeface="Aptos Narrow"/>
            <a:ea typeface="+mn-ea"/>
            <a:cs typeface="+mn-cs"/>
          </a:endParaRPr>
        </a:p>
      </xdr:txBody>
    </xdr:sp>
    <xdr:clientData/>
  </xdr:twoCellAnchor>
  <xdr:twoCellAnchor>
    <xdr:from>
      <xdr:col>18</xdr:col>
      <xdr:colOff>327341</xdr:colOff>
      <xdr:row>25</xdr:row>
      <xdr:rowOff>102445</xdr:rowOff>
    </xdr:from>
    <xdr:to>
      <xdr:col>18</xdr:col>
      <xdr:colOff>497514</xdr:colOff>
      <xdr:row>26</xdr:row>
      <xdr:rowOff>89737</xdr:rowOff>
    </xdr:to>
    <xdr:sp macro="" textlink="">
      <xdr:nvSpPr>
        <xdr:cNvPr id="94" name="Freeform: Shape 93">
          <a:extLst>
            <a:ext uri="{FF2B5EF4-FFF2-40B4-BE49-F238E27FC236}">
              <a16:creationId xmlns:a16="http://schemas.microsoft.com/office/drawing/2014/main" id="{2B7EF23A-94F9-4DF4-9550-6C8185C78D60}"/>
            </a:ext>
          </a:extLst>
        </xdr:cNvPr>
        <xdr:cNvSpPr/>
      </xdr:nvSpPr>
      <xdr:spPr>
        <a:xfrm>
          <a:off x="10957241" y="4864945"/>
          <a:ext cx="170173" cy="17779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314152</xdr:colOff>
      <xdr:row>30</xdr:row>
      <xdr:rowOff>79083</xdr:rowOff>
    </xdr:from>
    <xdr:to>
      <xdr:col>18</xdr:col>
      <xdr:colOff>510701</xdr:colOff>
      <xdr:row>31</xdr:row>
      <xdr:rowOff>94195</xdr:rowOff>
    </xdr:to>
    <xdr:sp macro="" textlink="">
      <xdr:nvSpPr>
        <xdr:cNvPr id="97" name="Freeform: Shape 96">
          <a:extLst>
            <a:ext uri="{FF2B5EF4-FFF2-40B4-BE49-F238E27FC236}">
              <a16:creationId xmlns:a16="http://schemas.microsoft.com/office/drawing/2014/main" id="{455B9CD6-D037-454A-8083-22DA7F5FA907}"/>
            </a:ext>
          </a:extLst>
        </xdr:cNvPr>
        <xdr:cNvSpPr/>
      </xdr:nvSpPr>
      <xdr:spPr>
        <a:xfrm>
          <a:off x="10944052" y="5794083"/>
          <a:ext cx="196549" cy="20561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328192</xdr:colOff>
      <xdr:row>32</xdr:row>
      <xdr:rowOff>152372</xdr:rowOff>
    </xdr:from>
    <xdr:to>
      <xdr:col>18</xdr:col>
      <xdr:colOff>496663</xdr:colOff>
      <xdr:row>33</xdr:row>
      <xdr:rowOff>173699</xdr:rowOff>
    </xdr:to>
    <xdr:sp macro="" textlink="">
      <xdr:nvSpPr>
        <xdr:cNvPr id="98" name="Freeform: Shape 97">
          <a:extLst>
            <a:ext uri="{FF2B5EF4-FFF2-40B4-BE49-F238E27FC236}">
              <a16:creationId xmlns:a16="http://schemas.microsoft.com/office/drawing/2014/main" id="{D65F6C36-6728-4159-AFA2-E5662B3507B4}"/>
            </a:ext>
          </a:extLst>
        </xdr:cNvPr>
        <xdr:cNvSpPr/>
      </xdr:nvSpPr>
      <xdr:spPr>
        <a:xfrm>
          <a:off x="10958092" y="6248372"/>
          <a:ext cx="168471" cy="21182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18</xdr:col>
      <xdr:colOff>321772</xdr:colOff>
      <xdr:row>35</xdr:row>
      <xdr:rowOff>56616</xdr:rowOff>
    </xdr:from>
    <xdr:to>
      <xdr:col>18</xdr:col>
      <xdr:colOff>518321</xdr:colOff>
      <xdr:row>36</xdr:row>
      <xdr:rowOff>67339</xdr:rowOff>
    </xdr:to>
    <xdr:sp macro="" textlink="">
      <xdr:nvSpPr>
        <xdr:cNvPr id="99" name="Freeform: Shape 98">
          <a:extLst>
            <a:ext uri="{FF2B5EF4-FFF2-40B4-BE49-F238E27FC236}">
              <a16:creationId xmlns:a16="http://schemas.microsoft.com/office/drawing/2014/main" id="{DF59FCA3-633C-4215-93E9-31B2AA3A8BE4}"/>
            </a:ext>
          </a:extLst>
        </xdr:cNvPr>
        <xdr:cNvSpPr/>
      </xdr:nvSpPr>
      <xdr:spPr>
        <a:xfrm>
          <a:off x="10951672" y="6724116"/>
          <a:ext cx="196549" cy="20122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13</xdr:col>
      <xdr:colOff>350520</xdr:colOff>
      <xdr:row>29</xdr:row>
      <xdr:rowOff>129540</xdr:rowOff>
    </xdr:from>
    <xdr:to>
      <xdr:col>14</xdr:col>
      <xdr:colOff>485870</xdr:colOff>
      <xdr:row>31</xdr:row>
      <xdr:rowOff>9555</xdr:rowOff>
    </xdr:to>
    <xdr:sp macro="" textlink="[1]Processing!AG34">
      <xdr:nvSpPr>
        <xdr:cNvPr id="137" name="TextBox 136">
          <a:extLst>
            <a:ext uri="{FF2B5EF4-FFF2-40B4-BE49-F238E27FC236}">
              <a16:creationId xmlns:a16="http://schemas.microsoft.com/office/drawing/2014/main" id="{92D18099-7DCB-4185-A5A9-18BDDEB12EA6}"/>
            </a:ext>
          </a:extLst>
        </xdr:cNvPr>
        <xdr:cNvSpPr txBox="1"/>
      </xdr:nvSpPr>
      <xdr:spPr>
        <a:xfrm>
          <a:off x="8027670" y="5654040"/>
          <a:ext cx="725900" cy="261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90EFB35-E0CC-49B2-B47D-D19287BB84FB}" type="TxLink">
            <a:rPr lang="en-US" sz="1100" b="0" i="0" u="none" strike="noStrike">
              <a:solidFill>
                <a:srgbClr val="000000"/>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editAs="oneCell">
    <xdr:from>
      <xdr:col>1</xdr:col>
      <xdr:colOff>373672</xdr:colOff>
      <xdr:row>4</xdr:row>
      <xdr:rowOff>80614</xdr:rowOff>
    </xdr:from>
    <xdr:to>
      <xdr:col>3</xdr:col>
      <xdr:colOff>482015</xdr:colOff>
      <xdr:row>6</xdr:row>
      <xdr:rowOff>65942</xdr:rowOff>
    </xdr:to>
    <xdr:pic>
      <xdr:nvPicPr>
        <xdr:cNvPr id="149" name="Picture 148">
          <a:extLst>
            <a:ext uri="{FF2B5EF4-FFF2-40B4-BE49-F238E27FC236}">
              <a16:creationId xmlns:a16="http://schemas.microsoft.com/office/drawing/2014/main" id="{241B37AF-C3FF-E0AD-DAC4-023C72BD2D61}"/>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5900"/>
                  </a14:imgEffect>
                  <a14:imgEffect>
                    <a14:saturation sat="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967153" y="842614"/>
          <a:ext cx="1295304" cy="366328"/>
        </a:xfrm>
        <a:prstGeom prst="rect">
          <a:avLst/>
        </a:prstGeom>
      </xdr:spPr>
    </xdr:pic>
    <xdr:clientData/>
  </xdr:twoCellAnchor>
  <xdr:twoCellAnchor>
    <xdr:from>
      <xdr:col>4</xdr:col>
      <xdr:colOff>527539</xdr:colOff>
      <xdr:row>8</xdr:row>
      <xdr:rowOff>60353</xdr:rowOff>
    </xdr:from>
    <xdr:to>
      <xdr:col>13</xdr:col>
      <xdr:colOff>43961</xdr:colOff>
      <xdr:row>9</xdr:row>
      <xdr:rowOff>143259</xdr:rowOff>
    </xdr:to>
    <xdr:grpSp>
      <xdr:nvGrpSpPr>
        <xdr:cNvPr id="23" name="Group 22">
          <a:extLst>
            <a:ext uri="{FF2B5EF4-FFF2-40B4-BE49-F238E27FC236}">
              <a16:creationId xmlns:a16="http://schemas.microsoft.com/office/drawing/2014/main" id="{3F4551FF-18F1-4E50-8844-08B04D96149E}"/>
            </a:ext>
          </a:extLst>
        </xdr:cNvPr>
        <xdr:cNvGrpSpPr/>
      </xdr:nvGrpSpPr>
      <xdr:grpSpPr>
        <a:xfrm>
          <a:off x="2901462" y="1584353"/>
          <a:ext cx="4857749" cy="273406"/>
          <a:chOff x="3806527" y="1593037"/>
          <a:chExt cx="3562013" cy="258166"/>
        </a:xfrm>
      </xdr:grpSpPr>
      <xdr:sp macro="" textlink="">
        <xdr:nvSpPr>
          <xdr:cNvPr id="24" name="TextBox 23">
            <a:extLst>
              <a:ext uri="{FF2B5EF4-FFF2-40B4-BE49-F238E27FC236}">
                <a16:creationId xmlns:a16="http://schemas.microsoft.com/office/drawing/2014/main" id="{5CBCEB3D-75B0-95AE-02B2-291C1A872E19}"/>
              </a:ext>
            </a:extLst>
          </xdr:cNvPr>
          <xdr:cNvSpPr txBox="1"/>
        </xdr:nvSpPr>
        <xdr:spPr>
          <a:xfrm>
            <a:off x="380652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rgbClr val="455177"/>
                </a:solidFill>
                <a:latin typeface="Aptos Narrow"/>
              </a:rPr>
              <a:t>Go Projects</a:t>
            </a:r>
          </a:p>
        </xdr:txBody>
      </xdr:sp>
      <xdr:sp macro="" textlink="'Data Processor'!W3">
        <xdr:nvSpPr>
          <xdr:cNvPr id="25" name="TextBox 24">
            <a:extLst>
              <a:ext uri="{FF2B5EF4-FFF2-40B4-BE49-F238E27FC236}">
                <a16:creationId xmlns:a16="http://schemas.microsoft.com/office/drawing/2014/main" id="{37ACCAF9-F40A-FCBF-5AD6-69E8AC375EE6}"/>
              </a:ext>
            </a:extLst>
          </xdr:cNvPr>
          <xdr:cNvSpPr txBox="1"/>
        </xdr:nvSpPr>
        <xdr:spPr>
          <a:xfrm>
            <a:off x="4424428" y="1593037"/>
            <a:ext cx="1164879"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6E3A61-5107-45E5-939A-D59924A99F0F}" type="TxLink">
              <a:rPr lang="en-US" sz="1200" b="1" i="0" u="none" strike="noStrike">
                <a:solidFill>
                  <a:srgbClr val="0093CE"/>
                </a:solidFill>
                <a:latin typeface="Aptos Narrow" panose="020B0004020202020204" pitchFamily="34" charset="0"/>
                <a:ea typeface="+mn-ea"/>
                <a:cs typeface="+mn-cs"/>
              </a:rPr>
              <a:pPr marL="0" indent="0" algn="l"/>
              <a:t>SAR 29,500,000 </a:t>
            </a:fld>
            <a:endParaRPr lang="ru-RU" sz="1600" b="1" i="0" u="none" strike="noStrike">
              <a:solidFill>
                <a:srgbClr val="0093CE"/>
              </a:solidFill>
              <a:latin typeface="Aptos Narrow" panose="020B0004020202020204" pitchFamily="34" charset="0"/>
              <a:ea typeface="+mn-ea"/>
              <a:cs typeface="+mn-cs"/>
            </a:endParaRPr>
          </a:p>
        </xdr:txBody>
      </xdr:sp>
      <xdr:sp macro="" textlink="">
        <xdr:nvSpPr>
          <xdr:cNvPr id="26" name="TextBox 25">
            <a:extLst>
              <a:ext uri="{FF2B5EF4-FFF2-40B4-BE49-F238E27FC236}">
                <a16:creationId xmlns:a16="http://schemas.microsoft.com/office/drawing/2014/main" id="{0D15EFC2-7E98-542A-7B3D-E97AF317D4DA}"/>
              </a:ext>
            </a:extLst>
          </xdr:cNvPr>
          <xdr:cNvSpPr txBox="1"/>
        </xdr:nvSpPr>
        <xdr:spPr>
          <a:xfrm>
            <a:off x="5686189" y="1593037"/>
            <a:ext cx="976588"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rgbClr val="455177"/>
                </a:solidFill>
                <a:latin typeface="Aptos Narrow"/>
              </a:rPr>
              <a:t>Risk</a:t>
            </a:r>
            <a:r>
              <a:rPr lang="en-US" sz="1200" b="0" i="0" u="none" strike="noStrike" baseline="0">
                <a:solidFill>
                  <a:srgbClr val="455177"/>
                </a:solidFill>
                <a:latin typeface="Aptos Narrow"/>
              </a:rPr>
              <a:t> Projects</a:t>
            </a:r>
            <a:endParaRPr lang="en-US" sz="1200" b="0" i="0" u="none" strike="noStrike">
              <a:solidFill>
                <a:srgbClr val="455177"/>
              </a:solidFill>
              <a:latin typeface="Aptos Narrow"/>
            </a:endParaRPr>
          </a:p>
        </xdr:txBody>
      </xdr:sp>
      <xdr:sp macro="" textlink="'Data Processor'!X3">
        <xdr:nvSpPr>
          <xdr:cNvPr id="27" name="TextBox 26">
            <a:extLst>
              <a:ext uri="{FF2B5EF4-FFF2-40B4-BE49-F238E27FC236}">
                <a16:creationId xmlns:a16="http://schemas.microsoft.com/office/drawing/2014/main" id="{E702542D-4908-43A2-B92F-2E5AB7467292}"/>
              </a:ext>
            </a:extLst>
          </xdr:cNvPr>
          <xdr:cNvSpPr txBox="1"/>
        </xdr:nvSpPr>
        <xdr:spPr>
          <a:xfrm>
            <a:off x="632112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BA1FA40-1290-4D20-9DE7-E7E0EA84F1A0}" type="TxLink">
              <a:rPr lang="en-US" sz="1200" b="1" i="0" u="none" strike="noStrike">
                <a:solidFill>
                  <a:srgbClr val="FF00FF"/>
                </a:solidFill>
                <a:latin typeface="Aptos Narrow" panose="020B0004020202020204" pitchFamily="34" charset="0"/>
                <a:ea typeface="+mn-ea"/>
                <a:cs typeface="+mn-cs"/>
              </a:rPr>
              <a:pPr algn="l"/>
              <a:t>SAR 19,900,000 </a:t>
            </a:fld>
            <a:endParaRPr lang="ru-RU" sz="1600" b="1" i="0" u="none" strike="noStrike">
              <a:solidFill>
                <a:srgbClr val="FF00FF"/>
              </a:solidFill>
              <a:latin typeface="Aptos Narrow" panose="020B0004020202020204" pitchFamily="34" charset="0"/>
              <a:ea typeface="+mn-ea"/>
              <a:cs typeface="+mn-cs"/>
            </a:endParaRPr>
          </a:p>
        </xdr:txBody>
      </xdr:sp>
    </xdr:grpSp>
    <xdr:clientData/>
  </xdr:twoCellAnchor>
  <xdr:twoCellAnchor>
    <xdr:from>
      <xdr:col>13</xdr:col>
      <xdr:colOff>587637</xdr:colOff>
      <xdr:row>8</xdr:row>
      <xdr:rowOff>29307</xdr:rowOff>
    </xdr:from>
    <xdr:to>
      <xdr:col>22</xdr:col>
      <xdr:colOff>131885</xdr:colOff>
      <xdr:row>21</xdr:row>
      <xdr:rowOff>126039</xdr:rowOff>
    </xdr:to>
    <xdr:graphicFrame macro="">
      <xdr:nvGraphicFramePr>
        <xdr:cNvPr id="19" name="Chart 18">
          <a:extLst>
            <a:ext uri="{FF2B5EF4-FFF2-40B4-BE49-F238E27FC236}">
              <a16:creationId xmlns:a16="http://schemas.microsoft.com/office/drawing/2014/main" id="{3AABD066-EC63-4BC6-8A9D-29A03B3D7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493241</xdr:colOff>
      <xdr:row>23</xdr:row>
      <xdr:rowOff>190479</xdr:rowOff>
    </xdr:from>
    <xdr:to>
      <xdr:col>22</xdr:col>
      <xdr:colOff>131884</xdr:colOff>
      <xdr:row>36</xdr:row>
      <xdr:rowOff>168520</xdr:rowOff>
    </xdr:to>
    <xdr:graphicFrame macro="">
      <xdr:nvGraphicFramePr>
        <xdr:cNvPr id="20" name="Chart 19">
          <a:extLst>
            <a:ext uri="{FF2B5EF4-FFF2-40B4-BE49-F238E27FC236}">
              <a16:creationId xmlns:a16="http://schemas.microsoft.com/office/drawing/2014/main" id="{F62E5E26-AEC1-4EED-B9B5-4F6BADDDA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517277</xdr:colOff>
      <xdr:row>11</xdr:row>
      <xdr:rowOff>36632</xdr:rowOff>
    </xdr:from>
    <xdr:to>
      <xdr:col>3</xdr:col>
      <xdr:colOff>312124</xdr:colOff>
      <xdr:row>13</xdr:row>
      <xdr:rowOff>161190</xdr:rowOff>
    </xdr:to>
    <xdr:sp macro="" textlink="'Data Processor'!AE11">
      <xdr:nvSpPr>
        <xdr:cNvPr id="21" name="TextBox 20">
          <a:extLst>
            <a:ext uri="{FF2B5EF4-FFF2-40B4-BE49-F238E27FC236}">
              <a16:creationId xmlns:a16="http://schemas.microsoft.com/office/drawing/2014/main" id="{196B6B4D-C742-13BC-31E9-A6701F574393}"/>
            </a:ext>
          </a:extLst>
        </xdr:cNvPr>
        <xdr:cNvSpPr txBox="1"/>
      </xdr:nvSpPr>
      <xdr:spPr>
        <a:xfrm>
          <a:off x="1110758" y="2132132"/>
          <a:ext cx="981808" cy="505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E21A9B-DC31-40E2-9D86-38D4E8A6DD68}" type="TxLink">
            <a:rPr lang="en-US" sz="2400" b="1" i="0" u="none" strike="noStrike">
              <a:ln>
                <a:noFill/>
              </a:ln>
              <a:solidFill>
                <a:srgbClr val="00B0F0"/>
              </a:solidFill>
              <a:latin typeface="Calibri"/>
              <a:ea typeface="Calibri"/>
              <a:cs typeface="Calibri"/>
            </a:rPr>
            <a:pPr algn="ctr"/>
            <a:t>11</a:t>
          </a:fld>
          <a:endParaRPr lang="en-US" sz="6600" b="1">
            <a:ln>
              <a:noFill/>
            </a:ln>
            <a:solidFill>
              <a:srgbClr val="00B0F0"/>
            </a:solidFill>
          </a:endParaRPr>
        </a:p>
      </xdr:txBody>
    </xdr:sp>
    <xdr:clientData/>
  </xdr:twoCellAnchor>
  <xdr:twoCellAnchor>
    <xdr:from>
      <xdr:col>1</xdr:col>
      <xdr:colOff>384708</xdr:colOff>
      <xdr:row>15</xdr:row>
      <xdr:rowOff>68439</xdr:rowOff>
    </xdr:from>
    <xdr:to>
      <xdr:col>3</xdr:col>
      <xdr:colOff>447169</xdr:colOff>
      <xdr:row>21</xdr:row>
      <xdr:rowOff>178167</xdr:rowOff>
    </xdr:to>
    <xdr:sp macro="" textlink="">
      <xdr:nvSpPr>
        <xdr:cNvPr id="22" name="Rectangle: Rounded Corners 21">
          <a:extLst>
            <a:ext uri="{FF2B5EF4-FFF2-40B4-BE49-F238E27FC236}">
              <a16:creationId xmlns:a16="http://schemas.microsoft.com/office/drawing/2014/main" id="{DA14270A-5659-479C-A89C-8B24E63CEA0B}"/>
            </a:ext>
          </a:extLst>
        </xdr:cNvPr>
        <xdr:cNvSpPr/>
      </xdr:nvSpPr>
      <xdr:spPr>
        <a:xfrm>
          <a:off x="978189" y="2925939"/>
          <a:ext cx="1249422" cy="1252728"/>
        </a:xfrm>
        <a:prstGeom prst="roundRect">
          <a:avLst>
            <a:gd name="adj" fmla="val 18817"/>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600" kern="1200">
              <a:solidFill>
                <a:schemeClr val="bg1">
                  <a:lumMod val="50000"/>
                </a:schemeClr>
              </a:solidFill>
              <a:latin typeface="+mn-lt"/>
              <a:ea typeface="+mn-ea"/>
              <a:cs typeface="+mn-cs"/>
            </a:rPr>
            <a:t>Awaiting</a:t>
          </a:r>
        </a:p>
        <a:p>
          <a:pPr marL="0" indent="0" algn="ctr" defTabSz="914400" rtl="0" eaLnBrk="1" latinLnBrk="0" hangingPunct="1"/>
          <a:r>
            <a:rPr lang="en-US" sz="1600" kern="1200">
              <a:solidFill>
                <a:schemeClr val="bg1">
                  <a:lumMod val="50000"/>
                </a:schemeClr>
              </a:solidFill>
              <a:latin typeface="+mn-lt"/>
              <a:ea typeface="+mn-ea"/>
              <a:cs typeface="+mn-cs"/>
            </a:rPr>
            <a:t>Projects</a:t>
          </a:r>
        </a:p>
      </xdr:txBody>
    </xdr:sp>
    <xdr:clientData/>
  </xdr:twoCellAnchor>
  <xdr:twoCellAnchor>
    <xdr:from>
      <xdr:col>1</xdr:col>
      <xdr:colOff>384708</xdr:colOff>
      <xdr:row>23</xdr:row>
      <xdr:rowOff>73269</xdr:rowOff>
    </xdr:from>
    <xdr:to>
      <xdr:col>3</xdr:col>
      <xdr:colOff>447169</xdr:colOff>
      <xdr:row>29</xdr:row>
      <xdr:rowOff>182997</xdr:rowOff>
    </xdr:to>
    <xdr:sp macro="" textlink="">
      <xdr:nvSpPr>
        <xdr:cNvPr id="28" name="Rectangle: Rounded Corners 27">
          <a:extLst>
            <a:ext uri="{FF2B5EF4-FFF2-40B4-BE49-F238E27FC236}">
              <a16:creationId xmlns:a16="http://schemas.microsoft.com/office/drawing/2014/main" id="{D18F1978-4374-4A60-A072-D537B09B4789}"/>
            </a:ext>
          </a:extLst>
        </xdr:cNvPr>
        <xdr:cNvSpPr/>
      </xdr:nvSpPr>
      <xdr:spPr>
        <a:xfrm>
          <a:off x="978189" y="4454769"/>
          <a:ext cx="1249422" cy="1252728"/>
        </a:xfrm>
        <a:prstGeom prst="roundRect">
          <a:avLst>
            <a:gd name="adj" fmla="val 18817"/>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eaLnBrk="1" latinLnBrk="0" hangingPunct="1"/>
          <a:r>
            <a:rPr lang="en-US" sz="1800" kern="1200">
              <a:solidFill>
                <a:schemeClr val="bg1">
                  <a:lumMod val="50000"/>
                </a:schemeClr>
              </a:solidFill>
              <a:effectLst/>
              <a:latin typeface="+mn-lt"/>
              <a:ea typeface="+mn-ea"/>
              <a:cs typeface="+mn-cs"/>
            </a:rPr>
            <a:t>Projects Review</a:t>
          </a:r>
          <a:endParaRPr lang="en-US" sz="1600">
            <a:solidFill>
              <a:schemeClr val="bg1">
                <a:lumMod val="50000"/>
              </a:schemeClr>
            </a:solidFill>
            <a:effectLst/>
          </a:endParaRPr>
        </a:p>
      </xdr:txBody>
    </xdr:sp>
    <xdr:clientData/>
  </xdr:twoCellAnchor>
  <xdr:twoCellAnchor>
    <xdr:from>
      <xdr:col>1</xdr:col>
      <xdr:colOff>384708</xdr:colOff>
      <xdr:row>30</xdr:row>
      <xdr:rowOff>176000</xdr:rowOff>
    </xdr:from>
    <xdr:to>
      <xdr:col>3</xdr:col>
      <xdr:colOff>447169</xdr:colOff>
      <xdr:row>37</xdr:row>
      <xdr:rowOff>95228</xdr:rowOff>
    </xdr:to>
    <xdr:sp macro="" textlink="">
      <xdr:nvSpPr>
        <xdr:cNvPr id="29" name="Rectangle: Rounded Corners 28">
          <a:extLst>
            <a:ext uri="{FF2B5EF4-FFF2-40B4-BE49-F238E27FC236}">
              <a16:creationId xmlns:a16="http://schemas.microsoft.com/office/drawing/2014/main" id="{4E035634-0580-484A-8511-3A8484AC19E1}"/>
            </a:ext>
          </a:extLst>
        </xdr:cNvPr>
        <xdr:cNvSpPr/>
      </xdr:nvSpPr>
      <xdr:spPr>
        <a:xfrm>
          <a:off x="978189" y="5891000"/>
          <a:ext cx="1249422" cy="1252728"/>
        </a:xfrm>
        <a:prstGeom prst="roundRect">
          <a:avLst>
            <a:gd name="adj" fmla="val 18817"/>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600" kern="1200">
              <a:solidFill>
                <a:schemeClr val="bg1">
                  <a:lumMod val="50000"/>
                </a:schemeClr>
              </a:solidFill>
              <a:latin typeface="+mn-lt"/>
              <a:ea typeface="+mn-ea"/>
              <a:cs typeface="+mn-cs"/>
            </a:rPr>
            <a:t>Risk Projects</a:t>
          </a:r>
          <a:endParaRPr lang="ru-RU" sz="1600" kern="1200">
            <a:solidFill>
              <a:schemeClr val="bg1">
                <a:lumMod val="50000"/>
              </a:schemeClr>
            </a:solidFill>
            <a:latin typeface="+mn-lt"/>
            <a:ea typeface="+mn-ea"/>
            <a:cs typeface="+mn-cs"/>
          </a:endParaRPr>
        </a:p>
      </xdr:txBody>
    </xdr:sp>
    <xdr:clientData/>
  </xdr:twoCellAnchor>
  <xdr:twoCellAnchor>
    <xdr:from>
      <xdr:col>1</xdr:col>
      <xdr:colOff>517277</xdr:colOff>
      <xdr:row>26</xdr:row>
      <xdr:rowOff>174376</xdr:rowOff>
    </xdr:from>
    <xdr:to>
      <xdr:col>3</xdr:col>
      <xdr:colOff>312124</xdr:colOff>
      <xdr:row>29</xdr:row>
      <xdr:rowOff>108434</xdr:rowOff>
    </xdr:to>
    <xdr:sp macro="" textlink="'Data Processor'!H3">
      <xdr:nvSpPr>
        <xdr:cNvPr id="30" name="TextBox 29">
          <a:extLst>
            <a:ext uri="{FF2B5EF4-FFF2-40B4-BE49-F238E27FC236}">
              <a16:creationId xmlns:a16="http://schemas.microsoft.com/office/drawing/2014/main" id="{F6BF08B6-E8F0-4B2D-B7A2-426F9CCA72A4}"/>
            </a:ext>
          </a:extLst>
        </xdr:cNvPr>
        <xdr:cNvSpPr txBox="1"/>
      </xdr:nvSpPr>
      <xdr:spPr>
        <a:xfrm>
          <a:off x="1110758" y="5127376"/>
          <a:ext cx="981808" cy="505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9A0DBD-08BF-4637-90B5-E44903ED50D5}" type="TxLink">
            <a:rPr lang="en-US" sz="2400" b="1" i="0" u="none" strike="noStrike">
              <a:ln>
                <a:noFill/>
              </a:ln>
              <a:solidFill>
                <a:srgbClr val="E2A104"/>
              </a:solidFill>
              <a:latin typeface="Calibri"/>
              <a:ea typeface="Calibri"/>
              <a:cs typeface="Calibri"/>
            </a:rPr>
            <a:pPr marL="0" indent="0" algn="ctr"/>
            <a:t>6</a:t>
          </a:fld>
          <a:endParaRPr lang="en-US" sz="2400" b="1" i="0" u="none" strike="noStrike">
            <a:ln>
              <a:noFill/>
            </a:ln>
            <a:solidFill>
              <a:srgbClr val="E2A104"/>
            </a:solidFill>
            <a:latin typeface="Calibri"/>
            <a:ea typeface="Calibri"/>
            <a:cs typeface="Calibri"/>
          </a:endParaRPr>
        </a:p>
      </xdr:txBody>
    </xdr:sp>
    <xdr:clientData/>
  </xdr:twoCellAnchor>
  <xdr:twoCellAnchor>
    <xdr:from>
      <xdr:col>1</xdr:col>
      <xdr:colOff>517277</xdr:colOff>
      <xdr:row>18</xdr:row>
      <xdr:rowOff>137744</xdr:rowOff>
    </xdr:from>
    <xdr:to>
      <xdr:col>3</xdr:col>
      <xdr:colOff>312124</xdr:colOff>
      <xdr:row>21</xdr:row>
      <xdr:rowOff>71802</xdr:rowOff>
    </xdr:to>
    <xdr:sp macro="" textlink="'Data Processor'!AE12">
      <xdr:nvSpPr>
        <xdr:cNvPr id="31" name="TextBox 30">
          <a:extLst>
            <a:ext uri="{FF2B5EF4-FFF2-40B4-BE49-F238E27FC236}">
              <a16:creationId xmlns:a16="http://schemas.microsoft.com/office/drawing/2014/main" id="{5A7A835C-AA56-4FF5-A89D-3ABE6FC767BA}"/>
            </a:ext>
          </a:extLst>
        </xdr:cNvPr>
        <xdr:cNvSpPr txBox="1"/>
      </xdr:nvSpPr>
      <xdr:spPr>
        <a:xfrm>
          <a:off x="1110758" y="3566744"/>
          <a:ext cx="981808" cy="505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B8FDE3-CE3D-44C8-98BA-A9FBE04727BF}" type="TxLink">
            <a:rPr lang="en-US" sz="2400" b="1" i="0" u="none" strike="noStrike">
              <a:ln>
                <a:noFill/>
              </a:ln>
              <a:solidFill>
                <a:srgbClr val="FF00FF"/>
              </a:solidFill>
              <a:latin typeface="Calibri"/>
              <a:ea typeface="Calibri"/>
              <a:cs typeface="Calibri"/>
            </a:rPr>
            <a:pPr marL="0" indent="0" algn="ctr"/>
            <a:t>11</a:t>
          </a:fld>
          <a:endParaRPr lang="en-US" sz="4800" b="1" i="0" u="none" strike="noStrike">
            <a:ln>
              <a:noFill/>
            </a:ln>
            <a:solidFill>
              <a:srgbClr val="FF00FF"/>
            </a:solidFill>
            <a:latin typeface="Calibri"/>
            <a:ea typeface="Calibri"/>
            <a:cs typeface="Calibri"/>
          </a:endParaRPr>
        </a:p>
      </xdr:txBody>
    </xdr:sp>
    <xdr:clientData/>
  </xdr:twoCellAnchor>
  <xdr:twoCellAnchor>
    <xdr:from>
      <xdr:col>1</xdr:col>
      <xdr:colOff>517277</xdr:colOff>
      <xdr:row>34</xdr:row>
      <xdr:rowOff>41032</xdr:rowOff>
    </xdr:from>
    <xdr:to>
      <xdr:col>3</xdr:col>
      <xdr:colOff>312124</xdr:colOff>
      <xdr:row>36</xdr:row>
      <xdr:rowOff>165590</xdr:rowOff>
    </xdr:to>
    <xdr:sp macro="" textlink="'Data Processor'!J3">
      <xdr:nvSpPr>
        <xdr:cNvPr id="32" name="TextBox 31">
          <a:extLst>
            <a:ext uri="{FF2B5EF4-FFF2-40B4-BE49-F238E27FC236}">
              <a16:creationId xmlns:a16="http://schemas.microsoft.com/office/drawing/2014/main" id="{A9911181-B894-49FE-8EDE-E0B45E052496}"/>
            </a:ext>
          </a:extLst>
        </xdr:cNvPr>
        <xdr:cNvSpPr txBox="1"/>
      </xdr:nvSpPr>
      <xdr:spPr>
        <a:xfrm>
          <a:off x="1110758" y="6518032"/>
          <a:ext cx="981808" cy="505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87BDDD-F192-48E9-9346-DAB0700E134A}" type="TxLink">
            <a:rPr lang="en-US" sz="2400" b="1" i="0" u="none" strike="noStrike">
              <a:ln>
                <a:noFill/>
              </a:ln>
              <a:solidFill>
                <a:srgbClr val="FF0000"/>
              </a:solidFill>
              <a:latin typeface="Calibri"/>
              <a:ea typeface="Calibri"/>
              <a:cs typeface="Calibri"/>
            </a:rPr>
            <a:pPr marL="0" indent="0" algn="ctr"/>
            <a:t>6</a:t>
          </a:fld>
          <a:endParaRPr lang="en-US" sz="2400" b="1" i="0" u="none" strike="noStrike">
            <a:ln>
              <a:noFill/>
            </a:ln>
            <a:solidFill>
              <a:srgbClr val="FF0000"/>
            </a:solidFill>
            <a:latin typeface="Calibri"/>
            <a:ea typeface="Calibri"/>
            <a:cs typeface="Calibri"/>
          </a:endParaRPr>
        </a:p>
      </xdr:txBody>
    </xdr:sp>
    <xdr:clientData/>
  </xdr:twoCellAnchor>
  <xdr:twoCellAnchor>
    <xdr:from>
      <xdr:col>4</xdr:col>
      <xdr:colOff>183174</xdr:colOff>
      <xdr:row>23</xdr:row>
      <xdr:rowOff>183174</xdr:rowOff>
    </xdr:from>
    <xdr:to>
      <xdr:col>11</xdr:col>
      <xdr:colOff>439617</xdr:colOff>
      <xdr:row>37</xdr:row>
      <xdr:rowOff>51287</xdr:rowOff>
    </xdr:to>
    <xdr:graphicFrame macro="">
      <xdr:nvGraphicFramePr>
        <xdr:cNvPr id="10" name="Chart 9">
          <a:extLst>
            <a:ext uri="{FF2B5EF4-FFF2-40B4-BE49-F238E27FC236}">
              <a16:creationId xmlns:a16="http://schemas.microsoft.com/office/drawing/2014/main" id="{0CBF41AD-4F6F-4D41-9D42-D3D124F06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225666</xdr:colOff>
      <xdr:row>4</xdr:row>
      <xdr:rowOff>110174</xdr:rowOff>
    </xdr:from>
    <xdr:to>
      <xdr:col>8</xdr:col>
      <xdr:colOff>322385</xdr:colOff>
      <xdr:row>6</xdr:row>
      <xdr:rowOff>2580</xdr:rowOff>
    </xdr:to>
    <xdr:grpSp>
      <xdr:nvGrpSpPr>
        <xdr:cNvPr id="13" name="Group 12">
          <a:extLst>
            <a:ext uri="{FF2B5EF4-FFF2-40B4-BE49-F238E27FC236}">
              <a16:creationId xmlns:a16="http://schemas.microsoft.com/office/drawing/2014/main" id="{96E057F5-E3C1-489F-9E33-700CB1325EF9}"/>
            </a:ext>
          </a:extLst>
        </xdr:cNvPr>
        <xdr:cNvGrpSpPr/>
      </xdr:nvGrpSpPr>
      <xdr:grpSpPr>
        <a:xfrm>
          <a:off x="2599589" y="872174"/>
          <a:ext cx="2470642" cy="273406"/>
          <a:chOff x="3806527" y="1593037"/>
          <a:chExt cx="1782780" cy="258166"/>
        </a:xfrm>
      </xdr:grpSpPr>
      <xdr:sp macro="" textlink="">
        <xdr:nvSpPr>
          <xdr:cNvPr id="18" name="TextBox 17">
            <a:extLst>
              <a:ext uri="{FF2B5EF4-FFF2-40B4-BE49-F238E27FC236}">
                <a16:creationId xmlns:a16="http://schemas.microsoft.com/office/drawing/2014/main" id="{0778D548-E146-6299-9F5C-25A613C23DA7}"/>
              </a:ext>
            </a:extLst>
          </xdr:cNvPr>
          <xdr:cNvSpPr txBox="1"/>
        </xdr:nvSpPr>
        <xdr:spPr>
          <a:xfrm>
            <a:off x="380652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rgbClr val="455177"/>
                </a:solidFill>
                <a:latin typeface="Aptos Narrow"/>
              </a:rPr>
              <a:t>Won Projects</a:t>
            </a:r>
          </a:p>
        </xdr:txBody>
      </xdr:sp>
      <xdr:sp macro="" textlink="'Data Processor'!Z3">
        <xdr:nvSpPr>
          <xdr:cNvPr id="33" name="TextBox 32">
            <a:extLst>
              <a:ext uri="{FF2B5EF4-FFF2-40B4-BE49-F238E27FC236}">
                <a16:creationId xmlns:a16="http://schemas.microsoft.com/office/drawing/2014/main" id="{2E311212-8B04-02D2-FAF5-F98A390AF904}"/>
              </a:ext>
            </a:extLst>
          </xdr:cNvPr>
          <xdr:cNvSpPr txBox="1"/>
        </xdr:nvSpPr>
        <xdr:spPr>
          <a:xfrm>
            <a:off x="4566661" y="1593037"/>
            <a:ext cx="102264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2AA5AC8-3585-410F-9AA5-ADEFC002C2F0}" type="TxLink">
              <a:rPr lang="en-US" sz="1100" b="1" i="0" u="none" strike="noStrike">
                <a:solidFill>
                  <a:srgbClr val="00B0F0"/>
                </a:solidFill>
                <a:latin typeface="Georgia Pro"/>
                <a:ea typeface="+mn-ea"/>
                <a:cs typeface="+mn-cs"/>
              </a:rPr>
              <a:pPr marL="0" indent="0" algn="l"/>
              <a:t>SAR 25,424,000 </a:t>
            </a:fld>
            <a:endParaRPr lang="ru-RU" sz="1600" b="1" i="0" u="none" strike="noStrike">
              <a:solidFill>
                <a:srgbClr val="0093CE"/>
              </a:solidFill>
              <a:latin typeface="Aptos Narrow" panose="020B0004020202020204" pitchFamily="34" charset="0"/>
              <a:ea typeface="+mn-ea"/>
              <a:cs typeface="+mn-cs"/>
            </a:endParaRPr>
          </a:p>
        </xdr:txBody>
      </xdr:sp>
    </xdr:grpSp>
    <xdr:clientData/>
  </xdr:twoCellAnchor>
  <xdr:twoCellAnchor>
    <xdr:from>
      <xdr:col>8</xdr:col>
      <xdr:colOff>547292</xdr:colOff>
      <xdr:row>4</xdr:row>
      <xdr:rowOff>23019</xdr:rowOff>
    </xdr:from>
    <xdr:to>
      <xdr:col>13</xdr:col>
      <xdr:colOff>259080</xdr:colOff>
      <xdr:row>6</xdr:row>
      <xdr:rowOff>91402</xdr:rowOff>
    </xdr:to>
    <xdr:sp macro="" textlink="">
      <xdr:nvSpPr>
        <xdr:cNvPr id="36" name="Rectangle: Rounded Corners 35">
          <a:extLst>
            <a:ext uri="{FF2B5EF4-FFF2-40B4-BE49-F238E27FC236}">
              <a16:creationId xmlns:a16="http://schemas.microsoft.com/office/drawing/2014/main" id="{694628B3-7419-462B-A13B-063FFFB8351E}"/>
            </a:ext>
          </a:extLst>
        </xdr:cNvPr>
        <xdr:cNvSpPr/>
      </xdr:nvSpPr>
      <xdr:spPr>
        <a:xfrm>
          <a:off x="5295138" y="785019"/>
          <a:ext cx="2679192" cy="449383"/>
        </a:xfrm>
        <a:prstGeom prst="roundRect">
          <a:avLst>
            <a:gd name="adj" fmla="val 4271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521694</xdr:colOff>
      <xdr:row>4</xdr:row>
      <xdr:rowOff>23019</xdr:rowOff>
    </xdr:from>
    <xdr:to>
      <xdr:col>17</xdr:col>
      <xdr:colOff>410308</xdr:colOff>
      <xdr:row>6</xdr:row>
      <xdr:rowOff>91402</xdr:rowOff>
    </xdr:to>
    <xdr:sp macro="" textlink="">
      <xdr:nvSpPr>
        <xdr:cNvPr id="37" name="Rectangle: Rounded Corners 36">
          <a:extLst>
            <a:ext uri="{FF2B5EF4-FFF2-40B4-BE49-F238E27FC236}">
              <a16:creationId xmlns:a16="http://schemas.microsoft.com/office/drawing/2014/main" id="{95631188-A011-4D7D-BE1D-0985912328BC}"/>
            </a:ext>
          </a:extLst>
        </xdr:cNvPr>
        <xdr:cNvSpPr/>
      </xdr:nvSpPr>
      <xdr:spPr>
        <a:xfrm>
          <a:off x="8236944" y="785019"/>
          <a:ext cx="2262537" cy="449383"/>
        </a:xfrm>
        <a:prstGeom prst="roundRect">
          <a:avLst>
            <a:gd name="adj" fmla="val 4271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17</xdr:col>
      <xdr:colOff>556847</xdr:colOff>
      <xdr:row>4</xdr:row>
      <xdr:rowOff>23019</xdr:rowOff>
    </xdr:from>
    <xdr:to>
      <xdr:col>22</xdr:col>
      <xdr:colOff>183491</xdr:colOff>
      <xdr:row>6</xdr:row>
      <xdr:rowOff>91402</xdr:rowOff>
    </xdr:to>
    <xdr:sp macro="" textlink="">
      <xdr:nvSpPr>
        <xdr:cNvPr id="38" name="Rectangle: Rounded Corners 37">
          <a:extLst>
            <a:ext uri="{FF2B5EF4-FFF2-40B4-BE49-F238E27FC236}">
              <a16:creationId xmlns:a16="http://schemas.microsoft.com/office/drawing/2014/main" id="{B157A63E-7D3D-4BA8-9799-36C5359D0E5C}"/>
            </a:ext>
          </a:extLst>
        </xdr:cNvPr>
        <xdr:cNvSpPr/>
      </xdr:nvSpPr>
      <xdr:spPr>
        <a:xfrm>
          <a:off x="10646020" y="785019"/>
          <a:ext cx="2594048" cy="449383"/>
        </a:xfrm>
        <a:prstGeom prst="roundRect">
          <a:avLst>
            <a:gd name="adj" fmla="val 4271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556845</xdr:colOff>
      <xdr:row>4</xdr:row>
      <xdr:rowOff>110171</xdr:rowOff>
    </xdr:from>
    <xdr:to>
      <xdr:col>13</xdr:col>
      <xdr:colOff>168519</xdr:colOff>
      <xdr:row>6</xdr:row>
      <xdr:rowOff>9904</xdr:rowOff>
    </xdr:to>
    <xdr:grpSp>
      <xdr:nvGrpSpPr>
        <xdr:cNvPr id="39" name="Group 38">
          <a:extLst>
            <a:ext uri="{FF2B5EF4-FFF2-40B4-BE49-F238E27FC236}">
              <a16:creationId xmlns:a16="http://schemas.microsoft.com/office/drawing/2014/main" id="{4820DDE8-EF98-4F6B-A257-BFAF49283E3C}"/>
            </a:ext>
          </a:extLst>
        </xdr:cNvPr>
        <xdr:cNvGrpSpPr/>
      </xdr:nvGrpSpPr>
      <xdr:grpSpPr>
        <a:xfrm>
          <a:off x="5304691" y="872171"/>
          <a:ext cx="2579078" cy="280733"/>
          <a:chOff x="5602593" y="1593037"/>
          <a:chExt cx="1765946" cy="265085"/>
        </a:xfrm>
      </xdr:grpSpPr>
      <xdr:sp macro="" textlink="">
        <xdr:nvSpPr>
          <xdr:cNvPr id="42" name="TextBox 41">
            <a:extLst>
              <a:ext uri="{FF2B5EF4-FFF2-40B4-BE49-F238E27FC236}">
                <a16:creationId xmlns:a16="http://schemas.microsoft.com/office/drawing/2014/main" id="{A77527A4-17D5-2A10-C5F2-27D42BF78DAE}"/>
              </a:ext>
            </a:extLst>
          </xdr:cNvPr>
          <xdr:cNvSpPr txBox="1"/>
        </xdr:nvSpPr>
        <xdr:spPr>
          <a:xfrm>
            <a:off x="5602593" y="1593037"/>
            <a:ext cx="106018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rgbClr val="455177"/>
                </a:solidFill>
                <a:latin typeface="Aptos Narrow"/>
              </a:rPr>
              <a:t>Pending</a:t>
            </a:r>
            <a:r>
              <a:rPr lang="en-US" sz="1200" b="0" i="0" u="none" strike="noStrike" baseline="0">
                <a:solidFill>
                  <a:srgbClr val="455177"/>
                </a:solidFill>
                <a:latin typeface="Aptos Narrow"/>
              </a:rPr>
              <a:t> Projects</a:t>
            </a:r>
            <a:endParaRPr lang="en-US" sz="1200" b="0" i="0" u="none" strike="noStrike">
              <a:solidFill>
                <a:srgbClr val="455177"/>
              </a:solidFill>
              <a:latin typeface="Aptos Narrow"/>
            </a:endParaRPr>
          </a:p>
        </xdr:txBody>
      </xdr:sp>
      <xdr:sp macro="" textlink="'Data Processor'!AA3">
        <xdr:nvSpPr>
          <xdr:cNvPr id="43" name="TextBox 42">
            <a:extLst>
              <a:ext uri="{FF2B5EF4-FFF2-40B4-BE49-F238E27FC236}">
                <a16:creationId xmlns:a16="http://schemas.microsoft.com/office/drawing/2014/main" id="{D3A9AC5E-D1CF-2E68-F82F-B62AAAFE188B}"/>
              </a:ext>
            </a:extLst>
          </xdr:cNvPr>
          <xdr:cNvSpPr txBox="1"/>
        </xdr:nvSpPr>
        <xdr:spPr>
          <a:xfrm>
            <a:off x="6355128" y="1599956"/>
            <a:ext cx="1013411"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7EF1838-4E9F-4879-95FD-D75F9537CB50}" type="TxLink">
              <a:rPr lang="en-US" sz="1100" b="1" i="0" u="none" strike="noStrike">
                <a:solidFill>
                  <a:srgbClr val="E26B0A"/>
                </a:solidFill>
                <a:latin typeface="Georgia Pro"/>
                <a:ea typeface="+mn-ea"/>
                <a:cs typeface="+mn-cs"/>
              </a:rPr>
              <a:pPr algn="l"/>
              <a:t>SAR 18,340,000 </a:t>
            </a:fld>
            <a:endParaRPr lang="ru-RU" sz="1600" b="1" i="0" u="none" strike="noStrike">
              <a:solidFill>
                <a:srgbClr val="FF00FF"/>
              </a:solidFill>
              <a:latin typeface="Aptos Narrow" panose="020B0004020202020204" pitchFamily="34" charset="0"/>
              <a:ea typeface="+mn-ea"/>
              <a:cs typeface="+mn-cs"/>
            </a:endParaRPr>
          </a:p>
        </xdr:txBody>
      </xdr:sp>
    </xdr:grpSp>
    <xdr:clientData/>
  </xdr:twoCellAnchor>
  <xdr:twoCellAnchor>
    <xdr:from>
      <xdr:col>13</xdr:col>
      <xdr:colOff>505559</xdr:colOff>
      <xdr:row>4</xdr:row>
      <xdr:rowOff>102844</xdr:rowOff>
    </xdr:from>
    <xdr:to>
      <xdr:col>17</xdr:col>
      <xdr:colOff>381002</xdr:colOff>
      <xdr:row>6</xdr:row>
      <xdr:rowOff>2577</xdr:rowOff>
    </xdr:to>
    <xdr:grpSp>
      <xdr:nvGrpSpPr>
        <xdr:cNvPr id="44" name="Group 43">
          <a:extLst>
            <a:ext uri="{FF2B5EF4-FFF2-40B4-BE49-F238E27FC236}">
              <a16:creationId xmlns:a16="http://schemas.microsoft.com/office/drawing/2014/main" id="{CA2F5FA8-88CE-4276-9AFB-1152F0364D8A}"/>
            </a:ext>
          </a:extLst>
        </xdr:cNvPr>
        <xdr:cNvGrpSpPr/>
      </xdr:nvGrpSpPr>
      <xdr:grpSpPr>
        <a:xfrm>
          <a:off x="8220809" y="864844"/>
          <a:ext cx="2249366" cy="280733"/>
          <a:chOff x="5590606" y="1586118"/>
          <a:chExt cx="1777934" cy="265085"/>
        </a:xfrm>
      </xdr:grpSpPr>
      <xdr:sp macro="" textlink="">
        <xdr:nvSpPr>
          <xdr:cNvPr id="45" name="TextBox 44">
            <a:extLst>
              <a:ext uri="{FF2B5EF4-FFF2-40B4-BE49-F238E27FC236}">
                <a16:creationId xmlns:a16="http://schemas.microsoft.com/office/drawing/2014/main" id="{7BCC296A-CE22-716E-3698-BE293F7885A2}"/>
              </a:ext>
            </a:extLst>
          </xdr:cNvPr>
          <xdr:cNvSpPr txBox="1"/>
        </xdr:nvSpPr>
        <xdr:spPr>
          <a:xfrm>
            <a:off x="5590606" y="1586118"/>
            <a:ext cx="1072171"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baseline="0">
                <a:solidFill>
                  <a:srgbClr val="455177"/>
                </a:solidFill>
                <a:latin typeface="Aptos Narrow"/>
              </a:rPr>
              <a:t>Lost Projects</a:t>
            </a:r>
            <a:endParaRPr lang="en-US" sz="1200" b="0" i="0" u="none" strike="noStrike">
              <a:solidFill>
                <a:srgbClr val="455177"/>
              </a:solidFill>
              <a:latin typeface="Aptos Narrow"/>
            </a:endParaRPr>
          </a:p>
        </xdr:txBody>
      </xdr:sp>
      <xdr:sp macro="" textlink="'Data Processor'!AB3">
        <xdr:nvSpPr>
          <xdr:cNvPr id="46" name="TextBox 45">
            <a:extLst>
              <a:ext uri="{FF2B5EF4-FFF2-40B4-BE49-F238E27FC236}">
                <a16:creationId xmlns:a16="http://schemas.microsoft.com/office/drawing/2014/main" id="{939EDABC-7E5E-0BC4-B6E4-C50BE1F8D9DB}"/>
              </a:ext>
            </a:extLst>
          </xdr:cNvPr>
          <xdr:cNvSpPr txBox="1"/>
        </xdr:nvSpPr>
        <xdr:spPr>
          <a:xfrm>
            <a:off x="6250815" y="1593037"/>
            <a:ext cx="1117725"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EF076ED-C3D4-4373-8E3D-570E8B09441E}" type="TxLink">
              <a:rPr lang="en-US" sz="1100" b="1" i="0" u="none" strike="noStrike">
                <a:solidFill>
                  <a:srgbClr val="B91C1C"/>
                </a:solidFill>
                <a:latin typeface="Georgia Pro"/>
                <a:ea typeface="+mn-ea"/>
                <a:cs typeface="+mn-cs"/>
              </a:rPr>
              <a:pPr algn="l"/>
              <a:t>SAR 11,540,000 </a:t>
            </a:fld>
            <a:endParaRPr lang="ru-RU" sz="1600" b="1" i="0" u="none" strike="noStrike">
              <a:solidFill>
                <a:srgbClr val="FF00FF"/>
              </a:solidFill>
              <a:latin typeface="Aptos Narrow" panose="020B0004020202020204" pitchFamily="34" charset="0"/>
              <a:ea typeface="+mn-ea"/>
              <a:cs typeface="+mn-cs"/>
            </a:endParaRPr>
          </a:p>
        </xdr:txBody>
      </xdr:sp>
    </xdr:grpSp>
    <xdr:clientData/>
  </xdr:twoCellAnchor>
  <xdr:twoCellAnchor>
    <xdr:from>
      <xdr:col>18</xdr:col>
      <xdr:colOff>21982</xdr:colOff>
      <xdr:row>4</xdr:row>
      <xdr:rowOff>110174</xdr:rowOff>
    </xdr:from>
    <xdr:to>
      <xdr:col>22</xdr:col>
      <xdr:colOff>190501</xdr:colOff>
      <xdr:row>6</xdr:row>
      <xdr:rowOff>2580</xdr:rowOff>
    </xdr:to>
    <xdr:grpSp>
      <xdr:nvGrpSpPr>
        <xdr:cNvPr id="47" name="Group 46">
          <a:extLst>
            <a:ext uri="{FF2B5EF4-FFF2-40B4-BE49-F238E27FC236}">
              <a16:creationId xmlns:a16="http://schemas.microsoft.com/office/drawing/2014/main" id="{C356A57F-B06D-488B-A07F-8B89BBF386A0}"/>
            </a:ext>
          </a:extLst>
        </xdr:cNvPr>
        <xdr:cNvGrpSpPr/>
      </xdr:nvGrpSpPr>
      <xdr:grpSpPr>
        <a:xfrm>
          <a:off x="10704636" y="872174"/>
          <a:ext cx="2542442" cy="273406"/>
          <a:chOff x="5541739" y="1593037"/>
          <a:chExt cx="1769886" cy="258166"/>
        </a:xfrm>
      </xdr:grpSpPr>
      <xdr:sp macro="" textlink="">
        <xdr:nvSpPr>
          <xdr:cNvPr id="48" name="TextBox 47">
            <a:extLst>
              <a:ext uri="{FF2B5EF4-FFF2-40B4-BE49-F238E27FC236}">
                <a16:creationId xmlns:a16="http://schemas.microsoft.com/office/drawing/2014/main" id="{4537DC0A-17AB-9747-FEBE-066014C3E84E}"/>
              </a:ext>
            </a:extLst>
          </xdr:cNvPr>
          <xdr:cNvSpPr txBox="1"/>
        </xdr:nvSpPr>
        <xdr:spPr>
          <a:xfrm>
            <a:off x="5541739" y="1593037"/>
            <a:ext cx="1121037"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baseline="0">
                <a:solidFill>
                  <a:srgbClr val="455177"/>
                </a:solidFill>
                <a:latin typeface="Aptos Narrow"/>
              </a:rPr>
              <a:t>Rejected Projects</a:t>
            </a:r>
            <a:endParaRPr lang="en-US" sz="1200" b="0" i="0" u="none" strike="noStrike">
              <a:solidFill>
                <a:srgbClr val="455177"/>
              </a:solidFill>
              <a:latin typeface="Aptos Narrow"/>
            </a:endParaRPr>
          </a:p>
        </xdr:txBody>
      </xdr:sp>
      <xdr:sp macro="" textlink="'Data Processor'!AC3">
        <xdr:nvSpPr>
          <xdr:cNvPr id="49" name="TextBox 48">
            <a:extLst>
              <a:ext uri="{FF2B5EF4-FFF2-40B4-BE49-F238E27FC236}">
                <a16:creationId xmlns:a16="http://schemas.microsoft.com/office/drawing/2014/main" id="{805BA375-F6C7-C861-0678-6F46B8952AA0}"/>
              </a:ext>
            </a:extLst>
          </xdr:cNvPr>
          <xdr:cNvSpPr txBox="1"/>
        </xdr:nvSpPr>
        <xdr:spPr>
          <a:xfrm>
            <a:off x="6362925" y="1593037"/>
            <a:ext cx="94870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6EBCB4A-E533-41BB-9C4F-CBA0B29123F5}" type="TxLink">
              <a:rPr lang="en-US" sz="1100" b="1" i="0" u="none" strike="noStrike">
                <a:solidFill>
                  <a:srgbClr val="FF00FF"/>
                </a:solidFill>
                <a:latin typeface="Georgia Pro"/>
                <a:ea typeface="+mn-ea"/>
                <a:cs typeface="+mn-cs"/>
              </a:rPr>
              <a:pPr algn="l"/>
              <a:t>SAR 19,900,000 </a:t>
            </a:fld>
            <a:endParaRPr lang="ru-RU" sz="1600" b="1" i="0" u="none" strike="noStrike">
              <a:solidFill>
                <a:srgbClr val="FF00FF"/>
              </a:solidFill>
              <a:latin typeface="Aptos Narrow" panose="020B0004020202020204" pitchFamily="34" charset="0"/>
              <a:ea typeface="+mn-ea"/>
              <a:cs typeface="+mn-cs"/>
            </a:endParaRPr>
          </a:p>
        </xdr:txBody>
      </xdr:sp>
    </xdr:grpSp>
    <xdr:clientData/>
  </xdr:twoCellAnchor>
  <xdr:twoCellAnchor>
    <xdr:from>
      <xdr:col>12</xdr:col>
      <xdr:colOff>190501</xdr:colOff>
      <xdr:row>23</xdr:row>
      <xdr:rowOff>131885</xdr:rowOff>
    </xdr:from>
    <xdr:to>
      <xdr:col>15</xdr:col>
      <xdr:colOff>161191</xdr:colOff>
      <xdr:row>37</xdr:row>
      <xdr:rowOff>36635</xdr:rowOff>
    </xdr:to>
    <xdr:graphicFrame macro="">
      <xdr:nvGraphicFramePr>
        <xdr:cNvPr id="50" name="Chart 49">
          <a:extLst>
            <a:ext uri="{FF2B5EF4-FFF2-40B4-BE49-F238E27FC236}">
              <a16:creationId xmlns:a16="http://schemas.microsoft.com/office/drawing/2014/main" id="{338EBA6B-1870-456F-A527-F772EE554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146539</xdr:colOff>
      <xdr:row>9</xdr:row>
      <xdr:rowOff>87923</xdr:rowOff>
    </xdr:from>
    <xdr:to>
      <xdr:col>13</xdr:col>
      <xdr:colOff>197827</xdr:colOff>
      <xdr:row>21</xdr:row>
      <xdr:rowOff>131885</xdr:rowOff>
    </xdr:to>
    <xdr:graphicFrame macro="">
      <xdr:nvGraphicFramePr>
        <xdr:cNvPr id="16" name="Chart 15">
          <a:extLst>
            <a:ext uri="{FF2B5EF4-FFF2-40B4-BE49-F238E27FC236}">
              <a16:creationId xmlns:a16="http://schemas.microsoft.com/office/drawing/2014/main" id="{38008045-FD3A-4763-8520-CC3C459C9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uhammad%20Adeel%20QS\Downloads\Chart111.xlsx" TargetMode="External"/><Relationship Id="rId1" Type="http://schemas.openxmlformats.org/officeDocument/2006/relationships/externalLinkPath" Target="file:///C:\Users\Muhammad%20Adeel%20QS\Downloads\Chart1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DASHBOARD Light"/>
      <sheetName val="Budgeting"/>
      <sheetName val="Budgeting Light"/>
      <sheetName val="Income"/>
      <sheetName val="Income Light"/>
      <sheetName val="Expenses"/>
      <sheetName val="Expenses Light"/>
      <sheetName val="Investments"/>
      <sheetName val="Investments Light"/>
      <sheetName val="Debts"/>
      <sheetName val="Debts Light"/>
      <sheetName val="Fin Goals"/>
      <sheetName val="Fin Goals Light"/>
      <sheetName val="Processing"/>
      <sheetName val="Control"/>
      <sheetName val="Data"/>
      <sheetName val="Resour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Adeel QS" refreshedDate="46127.527667476854" createdVersion="8" refreshedVersion="8" minRefreshableVersion="3" recordCount="25" xr:uid="{BF7F7AEB-AC34-4C94-AEB1-84580A48AF51}">
  <cacheSource type="worksheet">
    <worksheetSource name="CEOinput"/>
  </cacheSource>
  <cacheFields count="13">
    <cacheField name="Project Name" numFmtId="0">
      <sharedItems containsBlank="1"/>
    </cacheField>
    <cacheField name="Total Score" numFmtId="0">
      <sharedItems containsMixedTypes="1" containsNumber="1" containsInteger="1" minValue="25" maxValue="135"/>
    </cacheField>
    <cacheField name="Risk Index" numFmtId="0">
      <sharedItems/>
    </cacheField>
    <cacheField name="Decision" numFmtId="0">
      <sharedItems count="4">
        <s v="NO GO"/>
        <s v="GO"/>
        <s v="REVIEW"/>
        <s v=""/>
      </sharedItems>
    </cacheField>
    <cacheField name="Expected Win %" numFmtId="9">
      <sharedItems containsMixedTypes="1" containsNumber="1" minValue="0.09" maxValue="0.75"/>
    </cacheField>
    <cacheField name="Won, Lost, Pending" numFmtId="9">
      <sharedItems count="5">
        <s v="Rejected"/>
        <s v="Won"/>
        <s v="Pending"/>
        <s v="Lost"/>
        <s v=""/>
      </sharedItems>
    </cacheField>
    <cacheField name="Column1" numFmtId="0">
      <sharedItems containsBlank="1" count="13">
        <s v="Jan"/>
        <s v="Feb"/>
        <s v="Mar"/>
        <s v="Apr"/>
        <s v="May"/>
        <s v="Jun"/>
        <s v="Jul"/>
        <s v="Aug"/>
        <s v="Sep"/>
        <s v="Oct"/>
        <s v="Nov"/>
        <s v="Dec"/>
        <m/>
      </sharedItems>
    </cacheField>
    <cacheField name="Running Month" numFmtId="0">
      <sharedItems count="13">
        <s v="Jan"/>
        <s v="Feb"/>
        <s v="Apr"/>
        <s v="Mar"/>
        <s v="Oct"/>
        <s v="Nov"/>
        <s v="Dec"/>
        <s v="May"/>
        <s v="Jun"/>
        <s v="Jul"/>
        <s v="Aug"/>
        <s v="Sep"/>
        <s v=""/>
      </sharedItems>
    </cacheField>
    <cacheField name="Location of Project" numFmtId="0">
      <sharedItems/>
    </cacheField>
    <cacheField name="Contract Value" numFmtId="164">
      <sharedItems containsString="0" containsBlank="1" containsNumber="1" containsInteger="1" minValue="200000" maxValue="6340000"/>
    </cacheField>
    <cacheField name="Estimated Value" numFmtId="164">
      <sharedItems containsMixedTypes="1" containsNumber="1" containsInteger="1" minValue="660000" maxValue="9000000"/>
    </cacheField>
    <cacheField name="Actual Spend" numFmtId="164">
      <sharedItems containsString="0" containsBlank="1" containsNumber="1" containsInteger="1" minValue="210000" maxValue="6550000"/>
    </cacheField>
    <cacheField name="Active &amp; Awaiting Projects" numFmtId="0">
      <sharedItems containsBlank="1" count="3">
        <s v="Active"/>
        <s v="Awaiting"/>
        <m/>
      </sharedItems>
    </cacheField>
  </cacheFields>
  <extLst>
    <ext xmlns:x14="http://schemas.microsoft.com/office/spreadsheetml/2009/9/main" uri="{725AE2AE-9491-48be-B2B4-4EB974FC3084}">
      <x14:pivotCacheDefinition pivotCacheId="9699932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Adeel QS" refreshedDate="46127.531915740743" createdVersion="8" refreshedVersion="8" minRefreshableVersion="3" recordCount="24" xr:uid="{39EE54DD-B3A9-429C-B257-8A6D27ADBCC5}">
  <cacheSource type="worksheet">
    <worksheetSource name="Mytable"/>
  </cacheSource>
  <cacheFields count="53">
    <cacheField name="Project Name" numFmtId="0">
      <sharedItems containsBlank="1"/>
    </cacheField>
    <cacheField name="Location of Project" numFmtId="0">
      <sharedItems containsBlank="1" count="23">
        <m/>
        <s v="Riyadh"/>
        <s v="Jeddah"/>
        <s v="Mecca (Makkah)"/>
        <s v="Medina (Madinah)"/>
        <s v="Dammam"/>
        <s v="Al-Khobar"/>
        <s v="Dhahran"/>
        <s v="Tabuk"/>
        <s v="Abha"/>
        <s v="Umluj"/>
        <s v="Ha'il"/>
        <s v="Al-Ahsa (Hofuf)"/>
        <s v="Al-Qatif"/>
        <s v="Yanbu"/>
        <s v="Najran"/>
        <s v="Al-Bahah"/>
        <s v="Jazan (Jizan)"/>
        <s v="Al-Kharj"/>
        <s v="Al-Ula"/>
        <s v="Ras Tanura"/>
        <s v="Jubail"/>
        <s v="Al Qasim"/>
      </sharedItems>
    </cacheField>
    <cacheField name="Project Type" numFmtId="0">
      <sharedItems containsBlank="1" count="4">
        <m/>
        <s v="Building"/>
        <s v="Industrial"/>
        <s v="Infrastructure"/>
      </sharedItems>
    </cacheField>
    <cacheField name="Estimated Value" numFmtId="0">
      <sharedItems containsString="0" containsBlank="1" containsNumber="1" containsInteger="1" minValue="660000" maxValue="9000000"/>
    </cacheField>
    <cacheField name="Project Size" numFmtId="0">
      <sharedItems containsBlank="1" count="4">
        <m/>
        <s v="Medium/Small"/>
        <s v="Large"/>
        <s v="Mega"/>
      </sharedItems>
    </cacheField>
    <cacheField name="Project Duration" numFmtId="0">
      <sharedItems containsBlank="1"/>
    </cacheField>
    <cacheField name="Tender Type" numFmtId="0">
      <sharedItems containsBlank="1" count="4">
        <m/>
        <s v="Negotiated"/>
        <s v="Limited"/>
        <s v="Open"/>
      </sharedItems>
    </cacheField>
    <cacheField name="Submission_x000a_Date" numFmtId="0">
      <sharedItems containsNonDate="0" containsDate="1" containsString="0" containsBlank="1" minDate="2022-01-01T00:00:00" maxDate="2026-09-10T00:00:00"/>
    </cacheField>
    <cacheField name="Year" numFmtId="0">
      <sharedItems containsSemiMixedTypes="0" containsNonDate="0" containsDate="1" containsString="0" minDate="1899-12-30T00:00:00" maxDate="2026-09-10T00:00:00" count="80">
        <d v="1905-03-14T00:00:00"/>
        <d v="2022-01-01T00:00:00"/>
        <d v="2022-01-02T00:00:00"/>
        <d v="2022-01-07T00:00:00"/>
        <d v="2023-01-22T00:00:00"/>
        <d v="2023-01-18T00:00:00"/>
        <d v="2023-01-31T00:00:00"/>
        <d v="2024-02-02T00:00:00"/>
        <d v="2024-02-06T00:00:00"/>
        <d v="2024-02-10T00:00:00"/>
        <d v="2024-02-22T00:00:00"/>
        <d v="2025-04-16T00:00:00"/>
        <d v="2025-03-02T00:00:00"/>
        <d v="2025-10-08T00:00:00"/>
        <d v="2025-11-12T00:00:00"/>
        <d v="2025-12-19T00:00:00"/>
        <d v="2026-01-14T00:00:00"/>
        <d v="2026-02-11T00:00:00"/>
        <d v="2026-05-06T00:00:00"/>
        <d v="2026-06-10T00:00:00"/>
        <d v="2026-07-15T00:00:00"/>
        <d v="2026-08-12T00:00:00"/>
        <d v="2026-09-09T00:00:00"/>
        <d v="2025-02-28T00:00:00" u="1"/>
        <d v="2025-03-05T00:00:00" u="1"/>
        <d v="2025-03-08T00:00:00" u="1"/>
        <d v="2025-03-12T00:00:00" u="1"/>
        <d v="2026-03-16T00:00:00" u="1"/>
        <d v="2026-03-20T00:00:00" u="1"/>
        <d v="2026-03-22T00:00:00" u="1"/>
        <d v="2026-03-27T00:00:00" u="1"/>
        <d v="2026-04-01T00:00:00" u="1"/>
        <d v="2026-04-04T00:00:00" u="1"/>
        <d v="2026-04-09T00:00:00" u="1"/>
        <d v="2026-01-01T00:00:00" u="1"/>
        <d v="2026-01-02T00:00:00" u="1"/>
        <d v="2026-01-07T00:00:00" u="1"/>
        <d v="2026-01-22T00:00:00" u="1"/>
        <d v="2026-01-18T00:00:00" u="1"/>
        <d v="2026-01-31T00:00:00" u="1"/>
        <d v="2026-02-02T00:00:00" u="1"/>
        <d v="2026-02-06T00:00:00" u="1"/>
        <d v="2026-02-10T00:00:00" u="1"/>
        <d v="2026-02-22T00:00:00" u="1"/>
        <d v="2026-02-28T00:00:00" u="1"/>
        <d v="2026-03-02T00:00:00" u="1"/>
        <d v="2026-03-05T00:00:00" u="1"/>
        <d v="2026-03-08T00:00:00" u="1"/>
        <d v="2026-03-12T00:00:00" u="1"/>
        <d v="2022-01-19T00:00:00" u="1"/>
        <d v="2022-03-16T00:00:00" u="1"/>
        <d v="2022-06-14T00:00:00" u="1"/>
        <d v="2022-07-12T00:00:00" u="1"/>
        <d v="2022-08-24T00:00:00" u="1"/>
        <d v="2022-09-13T00:00:00" u="1"/>
        <d v="2022-11-14T00:00:00" u="1"/>
        <d v="2023-01-16T00:00:00" u="1"/>
        <d v="2023-03-22T00:00:00" u="1"/>
        <d v="2023-04-11T00:00:00" u="1"/>
        <d v="2023-07-18T00:00:00" u="1"/>
        <d v="2023-10-19T00:00:00" u="1"/>
        <d v="2023-12-12T00:00:00" u="1"/>
        <d v="2024-01-16T00:00:00" u="1"/>
        <d v="2024-04-09T00:00:00" u="1"/>
        <d v="2024-07-17T00:00:00" u="1"/>
        <d v="2024-08-21T00:00:00" u="1"/>
        <d v="2024-10-17T00:00:00" u="1"/>
        <d v="2025-01-07T00:00:00" u="1"/>
        <d v="2025-08-05T00:00:00" u="1"/>
        <d v="2026-01-06T00:00:00" u="1"/>
        <d v="2026-03-10T00:00:00" u="1"/>
        <d v="1899-12-30T00:00:00" u="1"/>
        <d v="2022-04-04T00:00:00" u="1"/>
        <d v="2023-04-09T00:00:00" u="1"/>
        <d v="2024-04-14T00:00:00" u="1"/>
        <d v="2025-04-18T00:00:00" u="1"/>
        <d v="2026-04-22T00:00:00" u="1"/>
        <d v="2026-04-23T00:00:00" u="1"/>
        <d v="2026-04-24T00:00:00" u="1"/>
        <d v="2026-04-25T00:00:00" u="1"/>
      </sharedItems>
      <fieldGroup par="52"/>
    </cacheField>
    <cacheField name="Month Slicer Column" numFmtId="0">
      <sharedItems containsBlank="1" count="13">
        <m/>
        <s v="January"/>
        <s v="February"/>
        <s v="March"/>
        <s v="April"/>
        <s v="May"/>
        <s v="June"/>
        <s v="July"/>
        <s v="August"/>
        <s v="September"/>
        <s v="October"/>
        <s v="November"/>
        <s v="December"/>
      </sharedItems>
    </cacheField>
    <cacheField name="Running Month" numFmtId="0">
      <sharedItems containsBlank="1"/>
    </cacheField>
    <cacheField name="Client Name " numFmtId="0">
      <sharedItems containsString="0" containsBlank="1" containsNumber="1" containsInteger="1" minValue="1" maxValue="22"/>
    </cacheField>
    <cacheField name="Client Category_x000a_(Sector)" numFmtId="0">
      <sharedItems containsBlank="1" count="4">
        <m/>
        <s v="Gov"/>
        <s v="Private"/>
        <s v="Semi"/>
      </sharedItems>
    </cacheField>
    <cacheField name="Consultant" numFmtId="0">
      <sharedItems containsBlank="1"/>
    </cacheField>
    <cacheField name="Project Management Consultancy_x000a_(if any)" numFmtId="0">
      <sharedItems containsBlank="1"/>
    </cacheField>
    <cacheField name="Relationship_x000a_Strength" numFmtId="0">
      <sharedItems containsBlank="1" containsMixedTypes="1" containsNumber="1" containsInteger="1" minValue="0" maxValue="5"/>
    </cacheField>
    <cacheField name="Budget Known" numFmtId="0">
      <sharedItems containsBlank="1" containsMixedTypes="1" containsNumber="1" containsInteger="1" minValue="0" maxValue="5"/>
    </cacheField>
    <cacheField name="Competitors" numFmtId="0">
      <sharedItems containsBlank="1" containsMixedTypes="1" containsNumber="1" containsInteger="1" minValue="0" maxValue="5"/>
    </cacheField>
    <cacheField name="Limited Invitation" numFmtId="0">
      <sharedItems containsBlank="1" containsMixedTypes="1" containsNumber="1" containsInteger="1" minValue="0" maxValue="5"/>
    </cacheField>
    <cacheField name="Similar Experience" numFmtId="0">
      <sharedItems containsBlank="1" containsMixedTypes="1" containsNumber="1" containsInteger="1" minValue="0" maxValue="5"/>
    </cacheField>
    <cacheField name="No Price Breakers_x000a_(Lump-Sum)" numFmtId="0">
      <sharedItems containsBlank="1" containsMixedTypes="1" containsNumber="1" containsInteger="1" minValue="0" maxValue="5"/>
    </cacheField>
    <cacheField name="Technical Advantage" numFmtId="0">
      <sharedItems containsBlank="1" containsMixedTypes="1" containsNumber="1" containsInteger="1" minValue="0" maxValue="5"/>
    </cacheField>
    <cacheField name="Within Expertise" numFmtId="0">
      <sharedItems containsBlank="1" containsMixedTypes="1" containsNumber="1" containsInteger="1" minValue="0" maxValue="5"/>
    </cacheField>
    <cacheField name="Low Changes Expected" numFmtId="0">
      <sharedItems containsBlank="1" containsMixedTypes="1" containsNumber="1" containsInteger="1" minValue="0" maxValue="5"/>
    </cacheField>
    <cacheField name="Good Location" numFmtId="0">
      <sharedItems containsBlank="1" containsMixedTypes="1" containsNumber="1" containsInteger="1" minValue="0" maxValue="5"/>
    </cacheField>
    <cacheField name="Team Availablility" numFmtId="0">
      <sharedItems containsBlank="1" containsMixedTypes="1" containsNumber="1" containsInteger="1" minValue="0" maxValue="5"/>
    </cacheField>
    <cacheField name="Equipment Availablility" numFmtId="0">
      <sharedItems containsBlank="1" containsMixedTypes="1" containsNumber="1" containsInteger="1" minValue="0" maxValue="5"/>
    </cacheField>
    <cacheField name="Cash Flow_x000a_Capability" numFmtId="0">
      <sharedItems containsBlank="1" containsMixedTypes="1" containsNumber="1" containsInteger="1" minValue="0" maxValue="5"/>
    </cacheField>
    <cacheField name="Current_x000a_Workload" numFmtId="0">
      <sharedItems containsBlank="1" containsMixedTypes="1" containsNumber="1" containsInteger="1" minValue="0" maxValue="5"/>
    </cacheField>
    <cacheField name="No Impact_x000a_on Running Projects" numFmtId="0">
      <sharedItems containsBlank="1" containsMixedTypes="1" containsNumber="1" containsInteger="1" minValue="0" maxValue="5"/>
    </cacheField>
    <cacheField name="LD (Liquidated damages)" numFmtId="0">
      <sharedItems containsBlank="1" containsMixedTypes="1" containsNumber="1" containsInteger="1" minValue="0" maxValue="5"/>
    </cacheField>
    <cacheField name="Advance Payment Guarantee" numFmtId="0">
      <sharedItems containsBlank="1" containsMixedTypes="1" containsNumber="1" containsInteger="1" minValue="0" maxValue="5"/>
    </cacheField>
    <cacheField name="Performance Bond" numFmtId="0">
      <sharedItems containsBlank="1" containsMixedTypes="1" containsNumber="1" containsInteger="1" minValue="0" maxValue="5"/>
    </cacheField>
    <cacheField name="Retention" numFmtId="0">
      <sharedItems containsBlank="1" containsMixedTypes="1" containsNumber="1" containsInteger="1" minValue="0" maxValue="5"/>
    </cacheField>
    <cacheField name="New System_x000a_(Never Done Before)" numFmtId="0">
      <sharedItems containsBlank="1" containsMixedTypes="1" containsNumber="1" containsInteger="1" minValue="0" maxValue="5"/>
    </cacheField>
    <cacheField name="Complex_x000a_MEP" numFmtId="0">
      <sharedItems containsBlank="1" containsMixedTypes="1" containsNumber="1" containsInteger="1" minValue="0" maxValue="5"/>
    </cacheField>
    <cacheField name="Special Authority Approvals" numFmtId="0">
      <sharedItems containsBlank="1" containsMixedTypes="1" containsNumber="1" containsInteger="1" minValue="0" maxValue="5"/>
    </cacheField>
    <cacheField name="Client_x000a_Reputation" numFmtId="0">
      <sharedItems containsBlank="1" containsMixedTypes="1" containsNumber="1" containsInteger="1" minValue="0" maxValue="5"/>
    </cacheField>
    <cacheField name="Clear Drawings" numFmtId="0">
      <sharedItems containsBlank="1" containsMixedTypes="1" containsNumber="1" containsInteger="1" minValue="1" maxValue="5"/>
    </cacheField>
    <cacheField name="Advance Payment" numFmtId="0">
      <sharedItems containsBlank="1" containsMixedTypes="1" containsNumber="1" containsInteger="1" minValue="1" maxValue="5"/>
    </cacheField>
    <cacheField name="Payments" numFmtId="0">
      <sharedItems containsBlank="1" containsMixedTypes="1" containsNumber="1" containsInteger="1" minValue="0" maxValue="5"/>
    </cacheField>
    <cacheField name="Financial Duration OK" numFmtId="0">
      <sharedItems containsBlank="1" containsMixedTypes="1" containsNumber="1" containsInteger="1" minValue="0" maxValue="5"/>
    </cacheField>
    <cacheField name="Total Score" numFmtId="0">
      <sharedItems containsString="0" containsBlank="1" containsNumber="1" containsInteger="1" minValue="25" maxValue="135"/>
    </cacheField>
    <cacheField name="Risk Index_x000a_Based on (Commercial &amp; Financial Risk)" numFmtId="0">
      <sharedItems containsBlank="1" count="4">
        <s v="HIGH"/>
        <s v="LOW"/>
        <s v="MEDIUM"/>
        <m u="1"/>
      </sharedItems>
    </cacheField>
    <cacheField name="Decision_x000a_Logic" numFmtId="0">
      <sharedItems containsBlank="1" count="4">
        <s v="NO GO"/>
        <s v="GO"/>
        <s v="REVIEW"/>
        <m u="1"/>
      </sharedItems>
    </cacheField>
    <cacheField name="Expect_x000a_Win %" numFmtId="0">
      <sharedItems containsString="0" containsBlank="1" containsNumber="1" minValue="0.09" maxValue="0.75"/>
    </cacheField>
    <cacheField name="Hard Stop" numFmtId="0">
      <sharedItems containsBlank="1"/>
    </cacheField>
    <cacheField name="Won, Lost &amp; Pending" numFmtId="0">
      <sharedItems containsBlank="1" count="5">
        <m/>
        <s v="Rejected"/>
        <s v="Won"/>
        <s v="Pending"/>
        <s v="Lost"/>
      </sharedItems>
    </cacheField>
    <cacheField name="Remarks_x000a_(Reason of Won, Lost &amp; Rejected)" numFmtId="0">
      <sharedItems containsNonDate="0" containsString="0" containsBlank="1"/>
    </cacheField>
    <cacheField name="Links" numFmtId="0">
      <sharedItems containsNonDate="0" containsString="0" containsBlank="1"/>
    </cacheField>
    <cacheField name="Months (Year)" numFmtId="0" databaseField="0">
      <fieldGroup base="8">
        <rangePr groupBy="months" startDate="1905-03-14T00:00:00" endDate="2026-09-10T00:00:00"/>
        <groupItems count="14">
          <s v="&lt;3/14/1905"/>
          <s v="Jan"/>
          <s v="Feb"/>
          <s v="Mar"/>
          <s v="Apr"/>
          <s v="May"/>
          <s v="Jun"/>
          <s v="Jul"/>
          <s v="Aug"/>
          <s v="Sep"/>
          <s v="Oct"/>
          <s v="Nov"/>
          <s v="Dec"/>
          <s v="&gt;9/10/2026"/>
        </groupItems>
      </fieldGroup>
    </cacheField>
    <cacheField name="Quarters (Year)" numFmtId="0" databaseField="0">
      <fieldGroup base="8">
        <rangePr groupBy="quarters" startDate="1905-03-14T00:00:00" endDate="2026-09-10T00:00:00"/>
        <groupItems count="6">
          <s v="&lt;3/14/1905"/>
          <s v="Qtr1"/>
          <s v="Qtr2"/>
          <s v="Qtr3"/>
          <s v="Qtr4"/>
          <s v="&gt;9/10/2026"/>
        </groupItems>
      </fieldGroup>
    </cacheField>
    <cacheField name="Years (Year)" numFmtId="0" databaseField="0">
      <fieldGroup base="8">
        <rangePr groupBy="years" startDate="1905-03-14T00:00:00" endDate="2026-09-10T00:00:00"/>
        <groupItems count="124">
          <s v="&lt;3/14/1905"/>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9/10/2026"/>
        </groupItems>
      </fieldGroup>
    </cacheField>
  </cacheFields>
  <extLst>
    <ext xmlns:x14="http://schemas.microsoft.com/office/spreadsheetml/2009/9/main" uri="{725AE2AE-9491-48be-B2B4-4EB974FC3084}">
      <x14:pivotCacheDefinition pivotCacheId="584816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Al Rimal"/>
    <n v="51"/>
    <s v="HIGH"/>
    <x v="0"/>
    <n v="0.18"/>
    <x v="0"/>
    <x v="0"/>
    <x v="0"/>
    <s v="Riyadh"/>
    <n v="800000"/>
    <n v="1000000"/>
    <n v="1010000"/>
    <x v="0"/>
  </r>
  <r>
    <s v="Al Qasim"/>
    <n v="135"/>
    <s v="LOW"/>
    <x v="1"/>
    <n v="0.75"/>
    <x v="1"/>
    <x v="1"/>
    <x v="0"/>
    <s v="Jeddah"/>
    <n v="1800000"/>
    <n v="2000000"/>
    <n v="2010000"/>
    <x v="0"/>
  </r>
  <r>
    <s v="Riyadh"/>
    <n v="54"/>
    <s v="HIGH"/>
    <x v="0"/>
    <n v="0.18"/>
    <x v="0"/>
    <x v="2"/>
    <x v="0"/>
    <s v="Mecca (Makkah)"/>
    <n v="2800000"/>
    <n v="3000000"/>
    <n v="3010000"/>
    <x v="0"/>
  </r>
  <r>
    <s v="Dammam"/>
    <n v="52"/>
    <s v="HIGH"/>
    <x v="0"/>
    <n v="0.18"/>
    <x v="0"/>
    <x v="3"/>
    <x v="0"/>
    <s v="Medina (Madinah)"/>
    <n v="2800000"/>
    <n v="3000000"/>
    <n v="3010000"/>
    <x v="1"/>
  </r>
  <r>
    <s v="Kharj"/>
    <n v="118"/>
    <s v="LOW"/>
    <x v="1"/>
    <n v="0.75"/>
    <x v="2"/>
    <x v="4"/>
    <x v="0"/>
    <s v="Dammam"/>
    <n v="2800000"/>
    <n v="3000000"/>
    <n v="3010000"/>
    <x v="1"/>
  </r>
  <r>
    <s v="Umluj"/>
    <n v="64"/>
    <s v="MEDIUM"/>
    <x v="2"/>
    <n v="0.38250000000000001"/>
    <x v="1"/>
    <x v="5"/>
    <x v="0"/>
    <s v="Al-Khobar"/>
    <n v="2800000"/>
    <n v="3000000"/>
    <n v="3010000"/>
    <x v="0"/>
  </r>
  <r>
    <s v="Tabuk"/>
    <n v="80"/>
    <s v="MEDIUM"/>
    <x v="1"/>
    <n v="0.38250000000000001"/>
    <x v="1"/>
    <x v="6"/>
    <x v="1"/>
    <s v="Dhahran"/>
    <n v="2800000"/>
    <n v="3000000"/>
    <n v="3010000"/>
    <x v="0"/>
  </r>
  <r>
    <s v="Khobar"/>
    <n v="62"/>
    <s v="MEDIUM"/>
    <x v="2"/>
    <n v="0.38250000000000001"/>
    <x v="3"/>
    <x v="7"/>
    <x v="1"/>
    <s v="Tabuk"/>
    <n v="6340000"/>
    <n v="6540000"/>
    <n v="6550000"/>
    <x v="1"/>
  </r>
  <r>
    <s v="Dahran"/>
    <n v="106"/>
    <s v="LOW"/>
    <x v="1"/>
    <n v="0.75"/>
    <x v="2"/>
    <x v="8"/>
    <x v="1"/>
    <s v="Abha"/>
    <n v="240000"/>
    <n v="800000"/>
    <n v="450000"/>
    <x v="1"/>
  </r>
  <r>
    <s v="Abha"/>
    <n v="74"/>
    <s v="MEDIUM"/>
    <x v="2"/>
    <n v="0.38250000000000001"/>
    <x v="1"/>
    <x v="9"/>
    <x v="1"/>
    <s v="Umluj"/>
    <n v="6264000"/>
    <n v="6464000"/>
    <n v="6465000"/>
    <x v="1"/>
  </r>
  <r>
    <s v="Hail"/>
    <n v="87"/>
    <s v="MEDIUM"/>
    <x v="1"/>
    <n v="0.51"/>
    <x v="2"/>
    <x v="10"/>
    <x v="2"/>
    <s v="Ha'il"/>
    <n v="6340000"/>
    <n v="6540000"/>
    <n v="6550000"/>
    <x v="0"/>
  </r>
  <r>
    <s v="Ahasa"/>
    <n v="25"/>
    <s v="HIGH"/>
    <x v="0"/>
    <n v="0.09"/>
    <x v="0"/>
    <x v="11"/>
    <x v="3"/>
    <s v="Al-Ahsa (Hofuf)"/>
    <n v="677000"/>
    <n v="900000"/>
    <n v="780000"/>
    <x v="0"/>
  </r>
  <r>
    <s v="Qatif"/>
    <n v="75"/>
    <s v="MEDIUM"/>
    <x v="2"/>
    <n v="0.38250000000000001"/>
    <x v="1"/>
    <x v="12"/>
    <x v="4"/>
    <s v="Al-Qatif"/>
    <n v="200000"/>
    <n v="1000000"/>
    <n v="1010000"/>
    <x v="1"/>
  </r>
  <r>
    <s v="Yanbu"/>
    <n v="53"/>
    <s v="HIGH"/>
    <x v="0"/>
    <n v="0.18"/>
    <x v="0"/>
    <x v="12"/>
    <x v="5"/>
    <s v="Yanbu"/>
    <n v="2800000"/>
    <n v="3000000"/>
    <n v="3010000"/>
    <x v="1"/>
  </r>
  <r>
    <s v="Najran"/>
    <n v="87"/>
    <s v="MEDIUM"/>
    <x v="1"/>
    <n v="0.51"/>
    <x v="1"/>
    <x v="12"/>
    <x v="6"/>
    <s v="Najran"/>
    <n v="500000"/>
    <n v="660000"/>
    <n v="670000"/>
    <x v="1"/>
  </r>
  <r>
    <s v="Bahah"/>
    <n v="76"/>
    <s v="MEDIUM"/>
    <x v="2"/>
    <n v="0.38250000000000001"/>
    <x v="1"/>
    <x v="12"/>
    <x v="0"/>
    <s v="Al-Bahah"/>
    <n v="200000"/>
    <n v="800000"/>
    <n v="210000"/>
    <x v="0"/>
  </r>
  <r>
    <s v="Jizan"/>
    <n v="85"/>
    <s v="MEDIUM"/>
    <x v="1"/>
    <n v="0.51"/>
    <x v="1"/>
    <x v="12"/>
    <x v="1"/>
    <s v="Jazan (Jizan)"/>
    <n v="1800000"/>
    <n v="2000000"/>
    <n v="2010000"/>
    <x v="0"/>
  </r>
  <r>
    <s v="Ula"/>
    <n v="82"/>
    <s v="MEDIUM"/>
    <x v="1"/>
    <n v="0.51"/>
    <x v="3"/>
    <x v="12"/>
    <x v="7"/>
    <s v="Al-Kharj"/>
    <n v="1800000"/>
    <n v="2000000"/>
    <n v="2010000"/>
    <x v="1"/>
  </r>
  <r>
    <s v="Ras Tanura"/>
    <n v="49"/>
    <s v="HIGH"/>
    <x v="0"/>
    <n v="0.18"/>
    <x v="0"/>
    <x v="12"/>
    <x v="8"/>
    <s v="Al-Ula"/>
    <n v="2800000"/>
    <n v="9000000"/>
    <n v="3010000"/>
    <x v="1"/>
  </r>
  <r>
    <s v="Jubail"/>
    <n v="74"/>
    <s v="MEDIUM"/>
    <x v="2"/>
    <n v="0.38250000000000001"/>
    <x v="2"/>
    <x v="12"/>
    <x v="9"/>
    <s v="Ras Tanura"/>
    <n v="4500000"/>
    <n v="8000000"/>
    <n v="3010000"/>
    <x v="1"/>
  </r>
  <r>
    <s v="Hofuf"/>
    <n v="90"/>
    <s v="LOW"/>
    <x v="1"/>
    <n v="0.6"/>
    <x v="1"/>
    <x v="12"/>
    <x v="10"/>
    <s v="Jubail"/>
    <n v="3500000"/>
    <n v="6500000"/>
    <n v="3010000"/>
    <x v="0"/>
  </r>
  <r>
    <s v="Jeddah"/>
    <n v="88"/>
    <s v="MEDIUM"/>
    <x v="1"/>
    <n v="0.51"/>
    <x v="3"/>
    <x v="12"/>
    <x v="11"/>
    <s v="Al Qasim"/>
    <n v="2800000"/>
    <n v="3000000"/>
    <n v="3010000"/>
    <x v="0"/>
  </r>
  <r>
    <m/>
    <s v=""/>
    <s v=""/>
    <x v="3"/>
    <s v=""/>
    <x v="4"/>
    <x v="12"/>
    <x v="12"/>
    <s v=""/>
    <m/>
    <s v=""/>
    <m/>
    <x v="2"/>
  </r>
  <r>
    <m/>
    <s v=""/>
    <s v=""/>
    <x v="3"/>
    <s v=""/>
    <x v="4"/>
    <x v="12"/>
    <x v="12"/>
    <s v=""/>
    <m/>
    <s v=""/>
    <m/>
    <x v="2"/>
  </r>
  <r>
    <m/>
    <s v=""/>
    <s v=""/>
    <x v="3"/>
    <s v=""/>
    <x v="4"/>
    <x v="12"/>
    <x v="12"/>
    <s v=""/>
    <m/>
    <s v=""/>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m/>
    <x v="0"/>
    <x v="0"/>
    <m/>
    <x v="0"/>
    <m/>
    <x v="0"/>
    <m/>
    <x v="0"/>
    <x v="0"/>
    <m/>
    <m/>
    <x v="0"/>
    <m/>
    <m/>
    <s v="(0-5)"/>
    <s v="(0-5)"/>
    <s v="(0-5)"/>
    <s v="(0-5)"/>
    <s v="(0-5)"/>
    <s v="(0-5)"/>
    <s v="(0-5)"/>
    <s v="(0-5)"/>
    <s v="(0-5)"/>
    <s v="(0-5)"/>
    <s v="(0-5)"/>
    <s v="(0-5)"/>
    <s v="(0-5)"/>
    <s v="(0-5)"/>
    <s v="(0-5)"/>
    <s v="(0-5)"/>
    <s v="(0-5)"/>
    <s v="(0-5)"/>
    <s v="(0-5)"/>
    <s v="(0-5)"/>
    <s v="(0-5)"/>
    <s v="(0-5)"/>
    <s v="(0-5)"/>
    <s v="(0-5)"/>
    <s v="(0-5)"/>
    <s v="(0-5)"/>
    <s v="(0-5)"/>
    <m/>
    <x v="0"/>
    <x v="0"/>
    <m/>
    <m/>
    <x v="0"/>
    <m/>
    <m/>
  </r>
  <r>
    <m/>
    <x v="0"/>
    <x v="0"/>
    <m/>
    <x v="0"/>
    <m/>
    <x v="0"/>
    <m/>
    <x v="0"/>
    <x v="0"/>
    <m/>
    <m/>
    <x v="0"/>
    <m/>
    <m/>
    <m/>
    <m/>
    <m/>
    <m/>
    <m/>
    <m/>
    <m/>
    <m/>
    <m/>
    <m/>
    <m/>
    <m/>
    <m/>
    <m/>
    <m/>
    <m/>
    <m/>
    <m/>
    <m/>
    <m/>
    <m/>
    <m/>
    <m/>
    <m/>
    <m/>
    <m/>
    <m/>
    <m/>
    <x v="0"/>
    <x v="0"/>
    <m/>
    <m/>
    <x v="0"/>
    <m/>
    <m/>
  </r>
  <r>
    <s v="Al Rimal"/>
    <x v="1"/>
    <x v="1"/>
    <n v="1000000"/>
    <x v="1"/>
    <s v="6 Months"/>
    <x v="1"/>
    <d v="2022-01-01T00:00:00"/>
    <x v="1"/>
    <x v="1"/>
    <s v="Jan"/>
    <n v="1"/>
    <x v="1"/>
    <s v="AECOM"/>
    <s v="None"/>
    <n v="2"/>
    <n v="5"/>
    <n v="2"/>
    <n v="2"/>
    <n v="2"/>
    <n v="2"/>
    <n v="2"/>
    <n v="2"/>
    <n v="2"/>
    <n v="5"/>
    <n v="2"/>
    <n v="4"/>
    <n v="0"/>
    <n v="0"/>
    <n v="1"/>
    <n v="2"/>
    <n v="2"/>
    <n v="0"/>
    <n v="0"/>
    <n v="2"/>
    <n v="0"/>
    <n v="0"/>
    <n v="5"/>
    <n v="1"/>
    <n v="3"/>
    <n v="1"/>
    <n v="2"/>
    <n v="51"/>
    <x v="0"/>
    <x v="0"/>
    <n v="0.18"/>
    <s v="NO GO"/>
    <x v="1"/>
    <m/>
    <m/>
  </r>
  <r>
    <s v="Al Qasim"/>
    <x v="2"/>
    <x v="2"/>
    <n v="2000000"/>
    <x v="2"/>
    <s v="1 Year"/>
    <x v="2"/>
    <d v="2022-01-02T00:00:00"/>
    <x v="2"/>
    <x v="2"/>
    <s v="Jan"/>
    <n v="2"/>
    <x v="1"/>
    <s v="AECOM"/>
    <s v="None"/>
    <n v="5"/>
    <n v="5"/>
    <n v="5"/>
    <n v="5"/>
    <n v="5"/>
    <n v="5"/>
    <n v="5"/>
    <n v="5"/>
    <n v="5"/>
    <n v="5"/>
    <n v="5"/>
    <n v="5"/>
    <n v="5"/>
    <n v="5"/>
    <n v="5"/>
    <n v="5"/>
    <n v="5"/>
    <n v="5"/>
    <n v="5"/>
    <n v="5"/>
    <n v="5"/>
    <n v="5"/>
    <n v="5"/>
    <n v="5"/>
    <n v="5"/>
    <n v="5"/>
    <n v="5"/>
    <n v="135"/>
    <x v="1"/>
    <x v="1"/>
    <n v="0.75"/>
    <s v="GO"/>
    <x v="2"/>
    <m/>
    <m/>
  </r>
  <r>
    <s v="Riyadh"/>
    <x v="3"/>
    <x v="3"/>
    <n v="3000000"/>
    <x v="3"/>
    <s v="2 Year"/>
    <x v="3"/>
    <d v="2022-01-07T00:00:00"/>
    <x v="3"/>
    <x v="3"/>
    <s v="Jan"/>
    <n v="3"/>
    <x v="1"/>
    <s v="AECOM"/>
    <s v="None"/>
    <n v="4"/>
    <n v="1"/>
    <n v="3"/>
    <n v="0"/>
    <n v="1"/>
    <n v="4"/>
    <n v="1"/>
    <n v="3"/>
    <n v="0"/>
    <n v="1"/>
    <n v="4"/>
    <n v="1"/>
    <n v="3"/>
    <n v="0"/>
    <n v="1"/>
    <n v="4"/>
    <n v="1"/>
    <n v="3"/>
    <n v="0"/>
    <n v="1"/>
    <n v="3"/>
    <n v="0"/>
    <n v="5"/>
    <n v="3"/>
    <n v="4"/>
    <n v="1"/>
    <n v="2"/>
    <n v="54"/>
    <x v="0"/>
    <x v="0"/>
    <n v="0.18"/>
    <s v="NO GO"/>
    <x v="1"/>
    <m/>
    <m/>
  </r>
  <r>
    <s v="Dammam"/>
    <x v="4"/>
    <x v="1"/>
    <n v="3000000"/>
    <x v="3"/>
    <s v="3 Year"/>
    <x v="3"/>
    <d v="2023-01-22T00:00:00"/>
    <x v="4"/>
    <x v="4"/>
    <s v="Jan"/>
    <n v="4"/>
    <x v="2"/>
    <s v="AECOM"/>
    <s v="None"/>
    <n v="2"/>
    <n v="3"/>
    <n v="1"/>
    <n v="0"/>
    <n v="3"/>
    <n v="2"/>
    <n v="3"/>
    <n v="1"/>
    <n v="0"/>
    <n v="3"/>
    <n v="2"/>
    <n v="3"/>
    <n v="1"/>
    <n v="0"/>
    <n v="3"/>
    <n v="2"/>
    <n v="3"/>
    <n v="1"/>
    <n v="0"/>
    <n v="3"/>
    <n v="1"/>
    <n v="0"/>
    <n v="2"/>
    <n v="5"/>
    <n v="5"/>
    <n v="3"/>
    <n v="0"/>
    <n v="52"/>
    <x v="0"/>
    <x v="0"/>
    <n v="0.18"/>
    <s v="NO GO"/>
    <x v="1"/>
    <m/>
    <m/>
  </r>
  <r>
    <s v="Kharj"/>
    <x v="5"/>
    <x v="1"/>
    <n v="3000000"/>
    <x v="3"/>
    <s v="4 Year"/>
    <x v="2"/>
    <d v="2023-01-18T00:00:00"/>
    <x v="5"/>
    <x v="5"/>
    <s v="Jan"/>
    <n v="5"/>
    <x v="2"/>
    <s v="AECOM"/>
    <s v="None"/>
    <n v="5"/>
    <n v="4"/>
    <n v="4"/>
    <n v="5"/>
    <n v="4"/>
    <n v="5"/>
    <n v="4"/>
    <n v="4"/>
    <n v="5"/>
    <n v="4"/>
    <n v="5"/>
    <n v="4"/>
    <n v="4"/>
    <n v="5"/>
    <n v="4"/>
    <n v="5"/>
    <n v="4"/>
    <n v="4"/>
    <n v="5"/>
    <n v="4"/>
    <n v="4"/>
    <n v="5"/>
    <n v="5"/>
    <n v="5"/>
    <n v="5"/>
    <n v="2"/>
    <n v="4"/>
    <n v="118"/>
    <x v="1"/>
    <x v="1"/>
    <n v="0.75"/>
    <s v="GO"/>
    <x v="3"/>
    <m/>
    <m/>
  </r>
  <r>
    <s v="Umluj"/>
    <x v="6"/>
    <x v="1"/>
    <n v="3000000"/>
    <x v="3"/>
    <s v="5 Year"/>
    <x v="1"/>
    <d v="2023-01-31T00:00:00"/>
    <x v="6"/>
    <x v="6"/>
    <s v="Jan"/>
    <n v="6"/>
    <x v="1"/>
    <s v="AECOM"/>
    <s v="None"/>
    <n v="2"/>
    <n v="3"/>
    <n v="0"/>
    <n v="3"/>
    <n v="1"/>
    <n v="2"/>
    <n v="3"/>
    <n v="0"/>
    <n v="3"/>
    <n v="1"/>
    <n v="2"/>
    <n v="3"/>
    <n v="0"/>
    <n v="3"/>
    <n v="1"/>
    <n v="2"/>
    <n v="3"/>
    <n v="0"/>
    <n v="3"/>
    <n v="3"/>
    <n v="0"/>
    <n v="3"/>
    <n v="3"/>
    <n v="5"/>
    <n v="5"/>
    <n v="5"/>
    <n v="5"/>
    <n v="64"/>
    <x v="2"/>
    <x v="2"/>
    <n v="0.38250000000000001"/>
    <s v="REVIEW"/>
    <x v="2"/>
    <m/>
    <m/>
  </r>
  <r>
    <s v="Tabuk"/>
    <x v="7"/>
    <x v="2"/>
    <n v="3000000"/>
    <x v="3"/>
    <s v="5 Year"/>
    <x v="2"/>
    <d v="2024-02-02T00:00:00"/>
    <x v="7"/>
    <x v="7"/>
    <s v="Feb"/>
    <n v="7"/>
    <x v="2"/>
    <s v="AECOM"/>
    <s v="None"/>
    <n v="2"/>
    <n v="2"/>
    <n v="5"/>
    <n v="2"/>
    <n v="3"/>
    <n v="2"/>
    <n v="2"/>
    <n v="5"/>
    <n v="2"/>
    <n v="3"/>
    <n v="2"/>
    <n v="2"/>
    <n v="5"/>
    <n v="2"/>
    <n v="3"/>
    <n v="2"/>
    <n v="2"/>
    <n v="5"/>
    <n v="2"/>
    <n v="2"/>
    <n v="5"/>
    <n v="2"/>
    <n v="5"/>
    <n v="2"/>
    <n v="5"/>
    <n v="4"/>
    <n v="2"/>
    <n v="80"/>
    <x v="2"/>
    <x v="1"/>
    <n v="0.38250000000000001"/>
    <s v="REVIEW"/>
    <x v="2"/>
    <m/>
    <m/>
  </r>
  <r>
    <s v="Khobar"/>
    <x v="8"/>
    <x v="2"/>
    <n v="6540000"/>
    <x v="3"/>
    <s v="5 Year"/>
    <x v="1"/>
    <d v="2024-02-06T00:00:00"/>
    <x v="8"/>
    <x v="8"/>
    <s v="Feb"/>
    <n v="8"/>
    <x v="2"/>
    <s v="AECOM"/>
    <s v="None"/>
    <n v="4"/>
    <n v="4"/>
    <n v="1"/>
    <n v="0"/>
    <n v="1"/>
    <n v="4"/>
    <n v="4"/>
    <n v="1"/>
    <n v="0"/>
    <n v="1"/>
    <n v="4"/>
    <n v="4"/>
    <n v="1"/>
    <n v="0"/>
    <n v="1"/>
    <n v="4"/>
    <n v="4"/>
    <n v="1"/>
    <n v="0"/>
    <n v="4"/>
    <n v="1"/>
    <n v="0"/>
    <n v="5"/>
    <n v="5"/>
    <n v="1"/>
    <n v="5"/>
    <n v="2"/>
    <n v="62"/>
    <x v="2"/>
    <x v="2"/>
    <n v="0.38250000000000001"/>
    <s v="REVIEW"/>
    <x v="4"/>
    <m/>
    <m/>
  </r>
  <r>
    <s v="Dahran"/>
    <x v="9"/>
    <x v="2"/>
    <n v="800000"/>
    <x v="1"/>
    <s v="5 Year"/>
    <x v="3"/>
    <d v="2024-02-10T00:00:00"/>
    <x v="9"/>
    <x v="9"/>
    <s v="Feb"/>
    <n v="9"/>
    <x v="1"/>
    <s v="AECOM"/>
    <s v="None"/>
    <n v="3"/>
    <n v="3"/>
    <n v="5"/>
    <n v="4"/>
    <n v="3"/>
    <n v="3"/>
    <n v="3"/>
    <n v="5"/>
    <n v="4"/>
    <n v="3"/>
    <n v="3"/>
    <n v="3"/>
    <n v="5"/>
    <n v="4"/>
    <n v="3"/>
    <n v="5"/>
    <n v="5"/>
    <n v="5"/>
    <n v="4"/>
    <n v="3"/>
    <n v="5"/>
    <n v="5"/>
    <n v="5"/>
    <n v="5"/>
    <n v="5"/>
    <n v="0"/>
    <n v="5"/>
    <n v="106"/>
    <x v="1"/>
    <x v="1"/>
    <n v="0.75"/>
    <s v="NO GO"/>
    <x v="3"/>
    <m/>
    <m/>
  </r>
  <r>
    <s v="Abha"/>
    <x v="10"/>
    <x v="2"/>
    <n v="6464000"/>
    <x v="3"/>
    <s v="5 Year"/>
    <x v="3"/>
    <d v="2024-02-22T00:00:00"/>
    <x v="10"/>
    <x v="10"/>
    <s v="Feb"/>
    <n v="10"/>
    <x v="3"/>
    <s v="AECOM"/>
    <s v="None"/>
    <n v="3"/>
    <n v="1"/>
    <n v="1"/>
    <n v="5"/>
    <n v="4"/>
    <n v="3"/>
    <n v="1"/>
    <n v="1"/>
    <n v="5"/>
    <n v="4"/>
    <n v="3"/>
    <n v="1"/>
    <n v="1"/>
    <n v="5"/>
    <n v="4"/>
    <n v="3"/>
    <n v="1"/>
    <n v="1"/>
    <n v="5"/>
    <n v="1"/>
    <n v="1"/>
    <n v="1"/>
    <n v="5"/>
    <n v="5"/>
    <n v="1"/>
    <n v="4"/>
    <n v="4"/>
    <n v="74"/>
    <x v="2"/>
    <x v="2"/>
    <n v="0.38250000000000001"/>
    <s v="REVIEW"/>
    <x v="2"/>
    <m/>
    <m/>
  </r>
  <r>
    <s v="Hail"/>
    <x v="11"/>
    <x v="2"/>
    <n v="6540000"/>
    <x v="3"/>
    <s v="5 Year"/>
    <x v="2"/>
    <d v="2025-04-16T00:00:00"/>
    <x v="11"/>
    <x v="11"/>
    <s v="Apr"/>
    <n v="11"/>
    <x v="3"/>
    <s v="AECOM"/>
    <s v="None"/>
    <n v="2"/>
    <n v="2"/>
    <n v="4"/>
    <n v="1"/>
    <n v="4"/>
    <n v="2"/>
    <n v="2"/>
    <n v="4"/>
    <n v="1"/>
    <n v="4"/>
    <n v="2"/>
    <n v="2"/>
    <n v="4"/>
    <n v="1"/>
    <n v="4"/>
    <n v="2"/>
    <n v="2"/>
    <n v="4"/>
    <n v="5"/>
    <n v="5"/>
    <n v="4"/>
    <n v="5"/>
    <n v="3"/>
    <n v="5"/>
    <n v="5"/>
    <n v="3"/>
    <n v="5"/>
    <n v="87"/>
    <x v="2"/>
    <x v="1"/>
    <n v="0.51"/>
    <s v="REVIEW"/>
    <x v="3"/>
    <m/>
    <m/>
  </r>
  <r>
    <s v="Ahasa"/>
    <x v="12"/>
    <x v="1"/>
    <n v="900000"/>
    <x v="1"/>
    <s v="5 Year"/>
    <x v="3"/>
    <d v="2025-03-02T00:00:00"/>
    <x v="12"/>
    <x v="12"/>
    <s v="Mar"/>
    <n v="12"/>
    <x v="3"/>
    <s v="AECOM"/>
    <s v="None"/>
    <n v="0"/>
    <n v="2"/>
    <n v="5"/>
    <n v="2"/>
    <n v="0"/>
    <n v="0"/>
    <n v="0"/>
    <n v="0"/>
    <n v="0"/>
    <n v="0"/>
    <n v="0"/>
    <n v="0"/>
    <n v="0"/>
    <n v="0"/>
    <n v="0"/>
    <n v="0"/>
    <n v="0"/>
    <n v="0"/>
    <n v="0"/>
    <n v="0"/>
    <n v="0"/>
    <n v="0"/>
    <n v="0"/>
    <n v="5"/>
    <n v="5"/>
    <n v="4"/>
    <n v="2"/>
    <n v="25"/>
    <x v="0"/>
    <x v="0"/>
    <n v="0.09"/>
    <s v="NO GO"/>
    <x v="1"/>
    <m/>
    <m/>
  </r>
  <r>
    <s v="Qatif"/>
    <x v="13"/>
    <x v="1"/>
    <n v="1000000"/>
    <x v="1"/>
    <s v="5 Year"/>
    <x v="3"/>
    <d v="2025-10-08T00:00:00"/>
    <x v="13"/>
    <x v="0"/>
    <s v="Oct"/>
    <n v="13"/>
    <x v="2"/>
    <s v="AECOM"/>
    <s v="None"/>
    <n v="4"/>
    <n v="4"/>
    <n v="1"/>
    <n v="3"/>
    <n v="1"/>
    <n v="4"/>
    <n v="4"/>
    <n v="1"/>
    <n v="3"/>
    <n v="1"/>
    <n v="4"/>
    <n v="4"/>
    <n v="1"/>
    <n v="3"/>
    <n v="1"/>
    <n v="4"/>
    <n v="4"/>
    <n v="1"/>
    <n v="3"/>
    <n v="4"/>
    <n v="1"/>
    <n v="3"/>
    <n v="5"/>
    <n v="2"/>
    <n v="3"/>
    <n v="4"/>
    <n v="2"/>
    <n v="75"/>
    <x v="2"/>
    <x v="2"/>
    <n v="0.38250000000000001"/>
    <s v="REVIEW"/>
    <x v="2"/>
    <m/>
    <m/>
  </r>
  <r>
    <s v="Yanbu"/>
    <x v="14"/>
    <x v="1"/>
    <n v="3000000"/>
    <x v="3"/>
    <s v="5 Year"/>
    <x v="1"/>
    <d v="2025-11-12T00:00:00"/>
    <x v="14"/>
    <x v="0"/>
    <s v="Nov"/>
    <n v="14"/>
    <x v="2"/>
    <s v="AECOM"/>
    <s v="None"/>
    <n v="2"/>
    <n v="3"/>
    <n v="1"/>
    <n v="0"/>
    <n v="3"/>
    <n v="2"/>
    <n v="3"/>
    <n v="1"/>
    <n v="0"/>
    <n v="3"/>
    <n v="2"/>
    <n v="3"/>
    <n v="1"/>
    <n v="0"/>
    <n v="3"/>
    <n v="2"/>
    <n v="3"/>
    <n v="1"/>
    <n v="0"/>
    <n v="3"/>
    <n v="1"/>
    <n v="0"/>
    <n v="2"/>
    <n v="5"/>
    <n v="5"/>
    <n v="3"/>
    <n v="1"/>
    <n v="53"/>
    <x v="0"/>
    <x v="0"/>
    <n v="0.18"/>
    <s v="NO GO"/>
    <x v="1"/>
    <m/>
    <m/>
  </r>
  <r>
    <s v="Najran"/>
    <x v="15"/>
    <x v="3"/>
    <n v="660000"/>
    <x v="1"/>
    <s v="5 Year"/>
    <x v="3"/>
    <d v="2025-12-19T00:00:00"/>
    <x v="15"/>
    <x v="0"/>
    <s v="Dec"/>
    <n v="15"/>
    <x v="3"/>
    <s v="AECOM"/>
    <s v="None"/>
    <n v="3"/>
    <n v="3"/>
    <n v="4"/>
    <n v="1"/>
    <n v="4"/>
    <n v="3"/>
    <n v="3"/>
    <n v="4"/>
    <n v="1"/>
    <n v="4"/>
    <n v="3"/>
    <n v="3"/>
    <n v="4"/>
    <n v="1"/>
    <n v="4"/>
    <n v="3"/>
    <n v="3"/>
    <n v="4"/>
    <n v="1"/>
    <n v="3"/>
    <n v="4"/>
    <n v="1"/>
    <n v="5"/>
    <n v="5"/>
    <n v="5"/>
    <n v="4"/>
    <n v="4"/>
    <n v="87"/>
    <x v="2"/>
    <x v="1"/>
    <n v="0.51"/>
    <s v="REVIEW"/>
    <x v="2"/>
    <m/>
    <m/>
  </r>
  <r>
    <s v="Bahah"/>
    <x v="16"/>
    <x v="1"/>
    <n v="800000"/>
    <x v="1"/>
    <s v="5 Year"/>
    <x v="3"/>
    <d v="2026-01-14T00:00:00"/>
    <x v="16"/>
    <x v="0"/>
    <s v="Jan"/>
    <n v="16"/>
    <x v="2"/>
    <s v="AECOM"/>
    <s v="None"/>
    <n v="2"/>
    <n v="2"/>
    <n v="4"/>
    <n v="3"/>
    <n v="1"/>
    <n v="2"/>
    <n v="2"/>
    <n v="4"/>
    <n v="3"/>
    <n v="1"/>
    <n v="2"/>
    <n v="2"/>
    <n v="4"/>
    <n v="3"/>
    <n v="1"/>
    <n v="2"/>
    <n v="2"/>
    <n v="4"/>
    <n v="3"/>
    <n v="2"/>
    <n v="4"/>
    <n v="3"/>
    <n v="4"/>
    <n v="1"/>
    <n v="5"/>
    <n v="5"/>
    <n v="5"/>
    <n v="76"/>
    <x v="2"/>
    <x v="2"/>
    <n v="0.38250000000000001"/>
    <s v="REVIEW"/>
    <x v="2"/>
    <m/>
    <m/>
  </r>
  <r>
    <s v="Jizan"/>
    <x v="17"/>
    <x v="3"/>
    <n v="2000000"/>
    <x v="2"/>
    <s v="5 Year"/>
    <x v="2"/>
    <d v="2026-02-11T00:00:00"/>
    <x v="17"/>
    <x v="0"/>
    <s v="Feb"/>
    <n v="17"/>
    <x v="2"/>
    <s v="AECOM"/>
    <s v="None"/>
    <n v="5"/>
    <n v="2"/>
    <n v="3"/>
    <n v="2"/>
    <n v="3"/>
    <n v="5"/>
    <n v="2"/>
    <n v="3"/>
    <n v="2"/>
    <n v="3"/>
    <n v="5"/>
    <n v="2"/>
    <n v="3"/>
    <n v="2"/>
    <n v="3"/>
    <n v="5"/>
    <n v="2"/>
    <n v="3"/>
    <n v="2"/>
    <n v="2"/>
    <n v="3"/>
    <n v="2"/>
    <n v="5"/>
    <n v="5"/>
    <n v="5"/>
    <n v="4"/>
    <n v="2"/>
    <n v="85"/>
    <x v="2"/>
    <x v="1"/>
    <n v="0.51"/>
    <s v="REVIEW"/>
    <x v="2"/>
    <m/>
    <m/>
  </r>
  <r>
    <s v="Ula"/>
    <x v="18"/>
    <x v="3"/>
    <n v="2000000"/>
    <x v="2"/>
    <s v="5 Year"/>
    <x v="3"/>
    <d v="2026-05-06T00:00:00"/>
    <x v="18"/>
    <x v="0"/>
    <s v="May"/>
    <n v="18"/>
    <x v="1"/>
    <s v="AECOM"/>
    <s v="None"/>
    <n v="4"/>
    <n v="4"/>
    <n v="5"/>
    <n v="0"/>
    <n v="1"/>
    <n v="4"/>
    <n v="4"/>
    <n v="5"/>
    <n v="0"/>
    <n v="1"/>
    <n v="4"/>
    <n v="4"/>
    <n v="5"/>
    <n v="0"/>
    <n v="1"/>
    <n v="4"/>
    <n v="4"/>
    <n v="5"/>
    <n v="0"/>
    <n v="4"/>
    <n v="5"/>
    <n v="0"/>
    <n v="5"/>
    <n v="5"/>
    <n v="4"/>
    <n v="2"/>
    <n v="2"/>
    <n v="82"/>
    <x v="2"/>
    <x v="1"/>
    <n v="0.51"/>
    <s v="REVIEW"/>
    <x v="4"/>
    <m/>
    <m/>
  </r>
  <r>
    <s v="Ras Tanura"/>
    <x v="19"/>
    <x v="3"/>
    <n v="9000000"/>
    <x v="3"/>
    <s v="5 Year"/>
    <x v="1"/>
    <d v="2026-06-10T00:00:00"/>
    <x v="19"/>
    <x v="0"/>
    <s v="Jun"/>
    <n v="19"/>
    <x v="2"/>
    <s v="AECOM"/>
    <s v="None"/>
    <n v="2"/>
    <n v="3"/>
    <n v="1"/>
    <n v="0"/>
    <n v="2"/>
    <n v="2"/>
    <n v="3"/>
    <n v="1"/>
    <n v="0"/>
    <n v="2"/>
    <n v="2"/>
    <n v="3"/>
    <n v="1"/>
    <n v="0"/>
    <n v="2"/>
    <n v="2"/>
    <n v="3"/>
    <n v="1"/>
    <n v="0"/>
    <n v="3"/>
    <n v="1"/>
    <n v="0"/>
    <n v="3"/>
    <n v="5"/>
    <n v="4"/>
    <n v="3"/>
    <n v="0"/>
    <n v="49"/>
    <x v="0"/>
    <x v="0"/>
    <n v="0.18"/>
    <s v="NO GO"/>
    <x v="1"/>
    <m/>
    <m/>
  </r>
  <r>
    <s v="Jubail"/>
    <x v="20"/>
    <x v="3"/>
    <n v="8000000"/>
    <x v="3"/>
    <s v="5 Year"/>
    <x v="3"/>
    <d v="2026-07-15T00:00:00"/>
    <x v="20"/>
    <x v="0"/>
    <s v="Jul"/>
    <n v="20"/>
    <x v="3"/>
    <s v="AECOM"/>
    <s v="None"/>
    <n v="3"/>
    <n v="0"/>
    <n v="1"/>
    <n v="5"/>
    <n v="4"/>
    <n v="3"/>
    <n v="0"/>
    <n v="1"/>
    <n v="5"/>
    <n v="4"/>
    <n v="3"/>
    <n v="0"/>
    <n v="1"/>
    <n v="5"/>
    <n v="4"/>
    <n v="3"/>
    <n v="0"/>
    <n v="1"/>
    <n v="5"/>
    <n v="0"/>
    <n v="1"/>
    <n v="5"/>
    <n v="5"/>
    <n v="5"/>
    <n v="2"/>
    <n v="4"/>
    <n v="4"/>
    <n v="74"/>
    <x v="2"/>
    <x v="2"/>
    <n v="0.38250000000000001"/>
    <s v="REVIEW"/>
    <x v="3"/>
    <m/>
    <m/>
  </r>
  <r>
    <s v="Hofuf"/>
    <x v="21"/>
    <x v="3"/>
    <n v="6500000"/>
    <x v="3"/>
    <s v="5 Year"/>
    <x v="1"/>
    <d v="2026-08-12T00:00:00"/>
    <x v="21"/>
    <x v="0"/>
    <s v="Aug"/>
    <n v="21"/>
    <x v="1"/>
    <s v="AECOM"/>
    <s v="None"/>
    <n v="3"/>
    <n v="2"/>
    <n v="4"/>
    <n v="3"/>
    <n v="3"/>
    <n v="3"/>
    <n v="2"/>
    <n v="4"/>
    <n v="3"/>
    <n v="3"/>
    <n v="3"/>
    <n v="2"/>
    <n v="4"/>
    <n v="3"/>
    <n v="3"/>
    <n v="3"/>
    <n v="2"/>
    <n v="4"/>
    <n v="3"/>
    <n v="2"/>
    <n v="4"/>
    <n v="3"/>
    <n v="5"/>
    <n v="4"/>
    <n v="5"/>
    <n v="5"/>
    <n v="5"/>
    <n v="90"/>
    <x v="1"/>
    <x v="1"/>
    <n v="0.6"/>
    <s v="GO"/>
    <x v="2"/>
    <m/>
    <m/>
  </r>
  <r>
    <s v="Jeddah"/>
    <x v="22"/>
    <x v="3"/>
    <n v="3000000"/>
    <x v="3"/>
    <s v="5 Year"/>
    <x v="3"/>
    <d v="2026-09-09T00:00:00"/>
    <x v="22"/>
    <x v="0"/>
    <s v="Sep"/>
    <n v="22"/>
    <x v="1"/>
    <s v="AECOM"/>
    <s v="None"/>
    <n v="2"/>
    <n v="4"/>
    <n v="5"/>
    <n v="2"/>
    <n v="2"/>
    <n v="2"/>
    <n v="4"/>
    <n v="5"/>
    <n v="2"/>
    <n v="2"/>
    <n v="2"/>
    <n v="4"/>
    <n v="5"/>
    <n v="2"/>
    <n v="2"/>
    <n v="2"/>
    <n v="4"/>
    <n v="5"/>
    <n v="2"/>
    <n v="4"/>
    <n v="5"/>
    <n v="2"/>
    <n v="5"/>
    <n v="5"/>
    <n v="3"/>
    <n v="4"/>
    <n v="2"/>
    <n v="88"/>
    <x v="2"/>
    <x v="1"/>
    <n v="0.51"/>
    <s v="REVIEW"/>
    <x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906730-5BCB-4D64-8C0B-94AD4578ABE9}" name="Location Slicer"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10:Q23" firstHeaderRow="1" firstDataRow="1" firstDataCol="1"/>
  <pivotFields count="53">
    <pivotField showAll="0"/>
    <pivotField axis="axisRow" dataField="1" showAll="0">
      <items count="24">
        <item x="9"/>
        <item x="22"/>
        <item x="12"/>
        <item x="16"/>
        <item x="18"/>
        <item x="6"/>
        <item x="13"/>
        <item x="19"/>
        <item x="5"/>
        <item x="7"/>
        <item x="11"/>
        <item x="17"/>
        <item x="2"/>
        <item x="21"/>
        <item x="3"/>
        <item x="4"/>
        <item x="15"/>
        <item x="20"/>
        <item x="1"/>
        <item x="8"/>
        <item x="10"/>
        <item x="14"/>
        <item x="0"/>
        <item t="default"/>
      </items>
    </pivotField>
    <pivotField showAll="0">
      <items count="5">
        <item x="1"/>
        <item x="2"/>
        <item x="3"/>
        <item h="1" x="0"/>
        <item t="default"/>
      </items>
    </pivotField>
    <pivotField showAll="0"/>
    <pivotField showAll="0">
      <items count="5">
        <item x="2"/>
        <item x="1"/>
        <item x="3"/>
        <item x="0"/>
        <item t="default"/>
      </items>
    </pivotField>
    <pivotField showAll="0"/>
    <pivotField showAll="0">
      <items count="5">
        <item x="2"/>
        <item x="1"/>
        <item x="3"/>
        <item x="0"/>
        <item t="default"/>
      </items>
    </pivotField>
    <pivotField showAll="0"/>
    <pivotField showAll="0">
      <items count="81">
        <item x="0"/>
        <item m="1" x="72"/>
        <item m="1" x="73"/>
        <item m="1" x="74"/>
        <item m="1" x="75"/>
        <item m="1" x="76"/>
        <item m="1" x="77"/>
        <item m="1" x="78"/>
        <item m="1" x="79"/>
        <item m="1" x="71"/>
        <item m="1" x="51"/>
        <item m="1" x="52"/>
        <item m="1" x="53"/>
        <item m="1" x="54"/>
        <item m="1" x="55"/>
        <item m="1" x="56"/>
        <item m="1" x="57"/>
        <item m="1" x="58"/>
        <item m="1" x="59"/>
        <item m="1" x="60"/>
        <item m="1" x="61"/>
        <item m="1" x="62"/>
        <item m="1" x="63"/>
        <item m="1" x="64"/>
        <item m="1" x="65"/>
        <item m="1" x="66"/>
        <item m="1" x="67"/>
        <item m="1" x="68"/>
        <item m="1" x="69"/>
        <item m="1" x="70"/>
        <item m="1" x="49"/>
        <item m="1" x="50"/>
        <item m="1" x="34"/>
        <item m="1" x="35"/>
        <item m="1" x="36"/>
        <item m="1" x="37"/>
        <item m="1" x="38"/>
        <item m="1" x="39"/>
        <item m="1" x="40"/>
        <item m="1" x="41"/>
        <item m="1" x="42"/>
        <item m="1" x="43"/>
        <item m="1" x="44"/>
        <item m="1" x="45"/>
        <item m="1" x="46"/>
        <item m="1" x="47"/>
        <item m="1" x="48"/>
        <item m="1" x="27"/>
        <item m="1" x="28"/>
        <item m="1" x="29"/>
        <item m="1" x="30"/>
        <item m="1" x="31"/>
        <item m="1" x="32"/>
        <item m="1" x="33"/>
        <item x="1"/>
        <item x="2"/>
        <item x="3"/>
        <item x="4"/>
        <item x="5"/>
        <item x="6"/>
        <item x="7"/>
        <item x="8"/>
        <item x="9"/>
        <item x="10"/>
        <item m="1" x="23"/>
        <item x="12"/>
        <item m="1" x="24"/>
        <item m="1" x="25"/>
        <item m="1" x="26"/>
        <item x="11"/>
        <item x="13"/>
        <item x="14"/>
        <item x="15"/>
        <item x="16"/>
        <item x="17"/>
        <item x="18"/>
        <item x="19"/>
        <item x="20"/>
        <item x="21"/>
        <item x="22"/>
        <item t="default"/>
      </items>
    </pivotField>
    <pivotField showAll="0">
      <items count="14">
        <item x="1"/>
        <item x="2"/>
        <item x="3"/>
        <item x="4"/>
        <item x="5"/>
        <item x="6"/>
        <item x="7"/>
        <item x="8"/>
        <item x="9"/>
        <item x="10"/>
        <item x="11"/>
        <item x="12"/>
        <item h="1"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m="1"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0"/>
        <item x="123"/>
        <item t="default"/>
      </items>
    </pivotField>
  </pivotFields>
  <rowFields count="1">
    <field x="1"/>
  </rowFields>
  <rowItems count="13">
    <i>
      <x/>
    </i>
    <i>
      <x v="2"/>
    </i>
    <i>
      <x v="5"/>
    </i>
    <i>
      <x v="8"/>
    </i>
    <i>
      <x v="9"/>
    </i>
    <i>
      <x v="10"/>
    </i>
    <i>
      <x v="12"/>
    </i>
    <i>
      <x v="14"/>
    </i>
    <i>
      <x v="15"/>
    </i>
    <i>
      <x v="18"/>
    </i>
    <i>
      <x v="19"/>
    </i>
    <i>
      <x v="20"/>
    </i>
    <i t="grand">
      <x/>
    </i>
  </rowItems>
  <colItems count="1">
    <i/>
  </colItems>
  <dataFields count="1">
    <dataField name="Count of Location of Project" fld="1" subtotal="count" baseField="0" baseItem="0"/>
  </dataFields>
  <formats count="18">
    <format dxfId="170">
      <pivotArea type="all" dataOnly="0" outline="0" fieldPosition="0"/>
    </format>
    <format dxfId="169">
      <pivotArea outline="0" collapsedLevelsAreSubtotals="1" fieldPosition="0"/>
    </format>
    <format dxfId="168">
      <pivotArea field="1" type="button" dataOnly="0" labelOnly="1" outline="0" axis="axisRow" fieldPosition="0"/>
    </format>
    <format dxfId="167">
      <pivotArea dataOnly="0" labelOnly="1" fieldPosition="0">
        <references count="1">
          <reference field="1" count="12">
            <x v="0"/>
            <x v="2"/>
            <x v="5"/>
            <x v="8"/>
            <x v="9"/>
            <x v="10"/>
            <x v="12"/>
            <x v="14"/>
            <x v="15"/>
            <x v="18"/>
            <x v="19"/>
            <x v="20"/>
          </reference>
        </references>
      </pivotArea>
    </format>
    <format dxfId="166">
      <pivotArea dataOnly="0" labelOnly="1" grandRow="1" outline="0" fieldPosition="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field="1" type="button" dataOnly="0" labelOnly="1" outline="0" axis="axisRow" fieldPosition="0"/>
    </format>
    <format dxfId="161">
      <pivotArea dataOnly="0" labelOnly="1" fieldPosition="0">
        <references count="1">
          <reference field="1" count="12">
            <x v="0"/>
            <x v="2"/>
            <x v="5"/>
            <x v="8"/>
            <x v="9"/>
            <x v="10"/>
            <x v="12"/>
            <x v="14"/>
            <x v="15"/>
            <x v="18"/>
            <x v="19"/>
            <x v="20"/>
          </reference>
        </references>
      </pivotArea>
    </format>
    <format dxfId="160">
      <pivotArea dataOnly="0" labelOnly="1" grandRow="1" outline="0" fieldPosition="0"/>
    </format>
    <format dxfId="159">
      <pivotArea dataOnly="0" labelOnly="1" outline="0" axis="axisValues" fieldPosition="0"/>
    </format>
    <format dxfId="113">
      <pivotArea type="all" dataOnly="0" outline="0" fieldPosition="0"/>
    </format>
    <format dxfId="112">
      <pivotArea outline="0" collapsedLevelsAreSubtotals="1" fieldPosition="0"/>
    </format>
    <format dxfId="111">
      <pivotArea field="1" type="button" dataOnly="0" labelOnly="1" outline="0" axis="axisRow" fieldPosition="0"/>
    </format>
    <format dxfId="110">
      <pivotArea dataOnly="0" labelOnly="1" fieldPosition="0">
        <references count="1">
          <reference field="1" count="12">
            <x v="0"/>
            <x v="2"/>
            <x v="5"/>
            <x v="8"/>
            <x v="9"/>
            <x v="10"/>
            <x v="12"/>
            <x v="14"/>
            <x v="15"/>
            <x v="18"/>
            <x v="19"/>
            <x v="20"/>
          </reference>
        </references>
      </pivotArea>
    </format>
    <format dxfId="109">
      <pivotArea dataOnly="0" labelOnly="1" grandRow="1" outline="0" fieldPosition="0"/>
    </format>
    <format dxfId="1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33F00E-666F-4BC0-A25A-283DD839DEBE}" name="CEO Running Month Slicer"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W10:X23" firstHeaderRow="1" firstDataRow="1" firstDataCol="1"/>
  <pivotFields count="13">
    <pivotField showAll="0"/>
    <pivotField showAll="0"/>
    <pivotField showAll="0"/>
    <pivotField showAll="0"/>
    <pivotField showAll="0"/>
    <pivotField showAll="0"/>
    <pivotField axis="axisRow" showAll="0">
      <items count="14">
        <item x="0"/>
        <item x="1"/>
        <item x="2"/>
        <item x="3"/>
        <item x="4"/>
        <item x="5"/>
        <item x="6"/>
        <item x="7"/>
        <item x="8"/>
        <item x="9"/>
        <item x="10"/>
        <item x="11"/>
        <item h="1" x="12"/>
        <item t="default"/>
      </items>
    </pivotField>
    <pivotField showAll="0"/>
    <pivotField showAll="0"/>
    <pivotField dataField="1" numFmtId="164" showAll="0"/>
    <pivotField numFmtId="164"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Contract Value" fld="9" baseField="0" baseItem="0" numFmtId="164"/>
  </dataFields>
  <formats count="18">
    <format dxfId="182">
      <pivotArea type="all" dataOnly="0" outline="0" fieldPosition="0"/>
    </format>
    <format dxfId="181">
      <pivotArea outline="0" collapsedLevelsAreSubtotals="1" fieldPosition="0"/>
    </format>
    <format dxfId="180">
      <pivotArea field="6" type="button" dataOnly="0" labelOnly="1" outline="0" axis="axisRow" fieldPosition="0"/>
    </format>
    <format dxfId="179">
      <pivotArea dataOnly="0" labelOnly="1" fieldPosition="0">
        <references count="1">
          <reference field="6" count="0"/>
        </references>
      </pivotArea>
    </format>
    <format dxfId="178">
      <pivotArea dataOnly="0" labelOnly="1" grandRow="1" outline="0"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field="6" type="button" dataOnly="0" labelOnly="1" outline="0" axis="axisRow" fieldPosition="0"/>
    </format>
    <format dxfId="173">
      <pivotArea dataOnly="0" labelOnly="1" fieldPosition="0">
        <references count="1">
          <reference field="6" count="0"/>
        </references>
      </pivotArea>
    </format>
    <format dxfId="172">
      <pivotArea dataOnly="0" labelOnly="1" grandRow="1" outline="0" fieldPosition="0"/>
    </format>
    <format dxfId="171">
      <pivotArea dataOnly="0" labelOnly="1" outline="0" axis="axisValues" fieldPosition="0"/>
    </format>
    <format dxfId="107">
      <pivotArea type="all" dataOnly="0" outline="0" fieldPosition="0"/>
    </format>
    <format dxfId="106">
      <pivotArea outline="0" collapsedLevelsAreSubtotals="1" fieldPosition="0"/>
    </format>
    <format dxfId="105">
      <pivotArea field="6" type="button" dataOnly="0" labelOnly="1" outline="0" axis="axisRow" fieldPosition="0"/>
    </format>
    <format dxfId="104">
      <pivotArea dataOnly="0" labelOnly="1" fieldPosition="0">
        <references count="1">
          <reference field="6" count="0"/>
        </references>
      </pivotArea>
    </format>
    <format dxfId="103">
      <pivotArea dataOnly="0" labelOnly="1" grandRow="1" outline="0" fieldPosition="0"/>
    </format>
    <format dxfId="1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35FF72-0326-4178-AA2E-CE1173AB87E8}" name="Running Month Slicer"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S10:T23" firstHeaderRow="1" firstDataRow="1" firstDataCol="1"/>
  <pivotFields count="53">
    <pivotField showAll="0"/>
    <pivotField showAll="0">
      <items count="24">
        <item x="9"/>
        <item x="22"/>
        <item x="12"/>
        <item x="16"/>
        <item x="18"/>
        <item x="6"/>
        <item x="13"/>
        <item x="19"/>
        <item x="5"/>
        <item x="7"/>
        <item x="11"/>
        <item x="17"/>
        <item x="2"/>
        <item x="21"/>
        <item x="3"/>
        <item x="4"/>
        <item x="15"/>
        <item x="20"/>
        <item x="1"/>
        <item x="8"/>
        <item x="10"/>
        <item x="14"/>
        <item x="0"/>
        <item t="default"/>
      </items>
    </pivotField>
    <pivotField showAll="0">
      <items count="5">
        <item x="1"/>
        <item x="2"/>
        <item x="3"/>
        <item h="1" x="0"/>
        <item t="default"/>
      </items>
    </pivotField>
    <pivotField showAll="0"/>
    <pivotField showAll="0">
      <items count="5">
        <item x="2"/>
        <item x="1"/>
        <item x="3"/>
        <item x="0"/>
        <item t="default"/>
      </items>
    </pivotField>
    <pivotField showAll="0"/>
    <pivotField showAll="0">
      <items count="5">
        <item x="2"/>
        <item x="1"/>
        <item x="3"/>
        <item x="0"/>
        <item t="default"/>
      </items>
    </pivotField>
    <pivotField showAll="0"/>
    <pivotField showAll="0">
      <items count="81">
        <item x="0"/>
        <item m="1" x="72"/>
        <item m="1" x="73"/>
        <item m="1" x="74"/>
        <item m="1" x="75"/>
        <item m="1" x="76"/>
        <item m="1" x="77"/>
        <item m="1" x="78"/>
        <item m="1" x="79"/>
        <item m="1" x="71"/>
        <item m="1" x="51"/>
        <item m="1" x="52"/>
        <item m="1" x="53"/>
        <item m="1" x="54"/>
        <item m="1" x="55"/>
        <item m="1" x="56"/>
        <item m="1" x="57"/>
        <item m="1" x="58"/>
        <item m="1" x="59"/>
        <item m="1" x="60"/>
        <item m="1" x="61"/>
        <item m="1" x="62"/>
        <item m="1" x="63"/>
        <item m="1" x="64"/>
        <item m="1" x="65"/>
        <item m="1" x="66"/>
        <item m="1" x="67"/>
        <item m="1" x="68"/>
        <item m="1" x="69"/>
        <item m="1" x="70"/>
        <item m="1" x="49"/>
        <item m="1" x="50"/>
        <item m="1" x="34"/>
        <item m="1" x="35"/>
        <item m="1" x="36"/>
        <item m="1" x="37"/>
        <item m="1" x="38"/>
        <item m="1" x="39"/>
        <item m="1" x="40"/>
        <item m="1" x="41"/>
        <item m="1" x="42"/>
        <item m="1" x="43"/>
        <item m="1" x="44"/>
        <item m="1" x="45"/>
        <item m="1" x="46"/>
        <item m="1" x="47"/>
        <item m="1" x="48"/>
        <item m="1" x="27"/>
        <item m="1" x="28"/>
        <item m="1" x="29"/>
        <item m="1" x="30"/>
        <item m="1" x="31"/>
        <item m="1" x="32"/>
        <item m="1" x="33"/>
        <item x="1"/>
        <item x="2"/>
        <item x="3"/>
        <item x="4"/>
        <item x="5"/>
        <item x="6"/>
        <item x="7"/>
        <item x="8"/>
        <item x="9"/>
        <item x="10"/>
        <item m="1" x="23"/>
        <item x="12"/>
        <item m="1" x="24"/>
        <item m="1" x="25"/>
        <item m="1" x="26"/>
        <item x="11"/>
        <item x="13"/>
        <item x="14"/>
        <item x="15"/>
        <item x="16"/>
        <item x="17"/>
        <item x="18"/>
        <item x="19"/>
        <item x="20"/>
        <item x="21"/>
        <item x="22"/>
        <item t="default"/>
      </items>
    </pivotField>
    <pivotField axis="axisRow" dataField="1" showAll="0">
      <items count="14">
        <item x="1"/>
        <item x="2"/>
        <item x="3"/>
        <item x="4"/>
        <item x="5"/>
        <item x="6"/>
        <item x="7"/>
        <item x="8"/>
        <item x="9"/>
        <item x="10"/>
        <item x="11"/>
        <item x="12"/>
        <item h="1"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m="1"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0"/>
        <item x="12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Count of Month Slicer Column" fld="9" subtotal="count" baseField="0" baseItem="0"/>
  </dataFields>
  <formats count="18">
    <format dxfId="194">
      <pivotArea type="all" dataOnly="0" outline="0" fieldPosition="0"/>
    </format>
    <format dxfId="193">
      <pivotArea outline="0" collapsedLevelsAreSubtotals="1" fieldPosition="0"/>
    </format>
    <format dxfId="192">
      <pivotArea field="9" type="button" dataOnly="0" labelOnly="1" outline="0" axis="axisRow" fieldPosition="0"/>
    </format>
    <format dxfId="191">
      <pivotArea dataOnly="0" labelOnly="1" fieldPosition="0">
        <references count="1">
          <reference field="9" count="0"/>
        </references>
      </pivotArea>
    </format>
    <format dxfId="190">
      <pivotArea dataOnly="0" labelOnly="1" grandRow="1" outline="0" fieldPosition="0"/>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field="9" type="button" dataOnly="0" labelOnly="1" outline="0" axis="axisRow" fieldPosition="0"/>
    </format>
    <format dxfId="185">
      <pivotArea dataOnly="0" labelOnly="1" fieldPosition="0">
        <references count="1">
          <reference field="9" count="0"/>
        </references>
      </pivotArea>
    </format>
    <format dxfId="184">
      <pivotArea dataOnly="0" labelOnly="1" grandRow="1" outline="0" fieldPosition="0"/>
    </format>
    <format dxfId="183">
      <pivotArea dataOnly="0" labelOnly="1" outline="0" axis="axisValues" fieldPosition="0"/>
    </format>
    <format dxfId="101">
      <pivotArea type="all" dataOnly="0" outline="0" fieldPosition="0"/>
    </format>
    <format dxfId="100">
      <pivotArea outline="0" collapsedLevelsAreSubtotals="1" fieldPosition="0"/>
    </format>
    <format dxfId="99">
      <pivotArea field="9" type="button" dataOnly="0" labelOnly="1" outline="0" axis="axisRow" fieldPosition="0"/>
    </format>
    <format dxfId="98">
      <pivotArea dataOnly="0" labelOnly="1" fieldPosition="0">
        <references count="1">
          <reference field="9" count="0"/>
        </references>
      </pivotArea>
    </format>
    <format dxfId="97">
      <pivotArea dataOnly="0" labelOnly="1" grandRow="1" outline="0" fieldPosition="0"/>
    </format>
    <format dxfId="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100C4B-77C8-4045-8DBC-9D3423DB3007}" name="CEO Pie Char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G7:AH11" firstHeaderRow="1" firstDataRow="1" firstDataCol="1"/>
  <pivotFields count="13">
    <pivotField showAll="0"/>
    <pivotField showAll="0"/>
    <pivotField showAll="0"/>
    <pivotField axis="axisRow" dataField="1" showAll="0">
      <items count="5">
        <item h="1" x="3"/>
        <item x="1"/>
        <item x="0"/>
        <item x="2"/>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v="1"/>
    </i>
    <i>
      <x v="2"/>
    </i>
    <i>
      <x v="3"/>
    </i>
    <i t="grand">
      <x/>
    </i>
  </rowItems>
  <colItems count="1">
    <i/>
  </colItems>
  <dataFields count="1">
    <dataField name="Count of Decision" fld="3" subtotal="count" showDataAs="percentOfTotal" baseField="0" baseItem="0" numFmtId="10"/>
  </dataFields>
  <formats count="18">
    <format dxfId="206">
      <pivotArea type="all" dataOnly="0" outline="0" fieldPosition="0"/>
    </format>
    <format dxfId="205">
      <pivotArea outline="0" collapsedLevelsAreSubtotals="1" fieldPosition="0"/>
    </format>
    <format dxfId="204">
      <pivotArea field="3" type="button" dataOnly="0" labelOnly="1" outline="0" axis="axisRow" fieldPosition="0"/>
    </format>
    <format dxfId="203">
      <pivotArea dataOnly="0" labelOnly="1" fieldPosition="0">
        <references count="1">
          <reference field="3" count="0"/>
        </references>
      </pivotArea>
    </format>
    <format dxfId="202">
      <pivotArea dataOnly="0" labelOnly="1" grandRow="1" outline="0" fieldPosition="0"/>
    </format>
    <format dxfId="201">
      <pivotArea dataOnly="0" labelOnly="1" outline="0" axis="axisValues" fieldPosition="0"/>
    </format>
    <format dxfId="200">
      <pivotArea type="all" dataOnly="0" outline="0" fieldPosition="0"/>
    </format>
    <format dxfId="199">
      <pivotArea outline="0" collapsedLevelsAreSubtotals="1" fieldPosition="0"/>
    </format>
    <format dxfId="198">
      <pivotArea field="3" type="button" dataOnly="0" labelOnly="1" outline="0" axis="axisRow" fieldPosition="0"/>
    </format>
    <format dxfId="197">
      <pivotArea dataOnly="0" labelOnly="1" fieldPosition="0">
        <references count="1">
          <reference field="3" count="0"/>
        </references>
      </pivotArea>
    </format>
    <format dxfId="196">
      <pivotArea dataOnly="0" labelOnly="1" grandRow="1" outline="0" fieldPosition="0"/>
    </format>
    <format dxfId="195">
      <pivotArea dataOnly="0" labelOnly="1" outline="0" axis="axisValues" fieldPosition="0"/>
    </format>
    <format dxfId="95">
      <pivotArea type="all" dataOnly="0" outline="0" fieldPosition="0"/>
    </format>
    <format dxfId="94">
      <pivotArea outline="0" collapsedLevelsAreSubtotals="1" fieldPosition="0"/>
    </format>
    <format dxfId="93">
      <pivotArea field="3" type="button" dataOnly="0" labelOnly="1" outline="0" axis="axisRow" fieldPosition="0"/>
    </format>
    <format dxfId="92">
      <pivotArea dataOnly="0" labelOnly="1" fieldPosition="0">
        <references count="1">
          <reference field="3" count="0"/>
        </references>
      </pivotArea>
    </format>
    <format dxfId="91">
      <pivotArea dataOnly="0" labelOnly="1" grandRow="1" outline="0" fieldPosition="0"/>
    </format>
    <format dxfId="90">
      <pivotArea dataOnly="0" labelOnly="1" outline="0" axis="axisValues"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5" format="7">
      <pivotArea type="data" outline="0" fieldPosition="0">
        <references count="2">
          <reference field="4294967294" count="1" selected="0">
            <x v="0"/>
          </reference>
          <reference field="3" count="1" selected="0">
            <x v="2"/>
          </reference>
        </references>
      </pivotArea>
    </chartFormat>
    <chartFormat chart="5" format="8">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E5E849-B887-4921-9B89-42B09077A9A2}" name="Guage Meter"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F24:G28" firstHeaderRow="1" firstDataRow="1" firstDataCol="1"/>
  <pivotFields count="53">
    <pivotField showAll="0"/>
    <pivotField showAll="0">
      <items count="24">
        <item x="9"/>
        <item x="22"/>
        <item x="12"/>
        <item x="16"/>
        <item x="18"/>
        <item x="6"/>
        <item x="13"/>
        <item x="19"/>
        <item x="5"/>
        <item x="7"/>
        <item x="11"/>
        <item x="17"/>
        <item x="2"/>
        <item x="21"/>
        <item x="3"/>
        <item x="4"/>
        <item x="15"/>
        <item x="20"/>
        <item x="1"/>
        <item x="8"/>
        <item x="10"/>
        <item x="14"/>
        <item x="0"/>
        <item t="default"/>
      </items>
    </pivotField>
    <pivotField showAll="0">
      <items count="5">
        <item x="1"/>
        <item x="2"/>
        <item x="3"/>
        <item h="1" x="0"/>
        <item t="default"/>
      </items>
    </pivotField>
    <pivotField showAll="0"/>
    <pivotField showAll="0">
      <items count="5">
        <item x="2"/>
        <item x="1"/>
        <item x="3"/>
        <item x="0"/>
        <item t="default"/>
      </items>
    </pivotField>
    <pivotField showAll="0"/>
    <pivotField showAll="0">
      <items count="5">
        <item x="2"/>
        <item x="1"/>
        <item x="3"/>
        <item x="0"/>
        <item t="default"/>
      </items>
    </pivotField>
    <pivotField showAll="0"/>
    <pivotField showAll="0">
      <items count="81">
        <item x="0"/>
        <item m="1" x="72"/>
        <item m="1" x="73"/>
        <item m="1" x="74"/>
        <item m="1" x="75"/>
        <item m="1" x="76"/>
        <item m="1" x="77"/>
        <item m="1" x="78"/>
        <item m="1" x="79"/>
        <item m="1" x="71"/>
        <item m="1" x="51"/>
        <item m="1" x="52"/>
        <item m="1" x="53"/>
        <item m="1" x="54"/>
        <item m="1" x="55"/>
        <item m="1" x="56"/>
        <item m="1" x="57"/>
        <item m="1" x="58"/>
        <item m="1" x="59"/>
        <item m="1" x="60"/>
        <item m="1" x="61"/>
        <item m="1" x="62"/>
        <item m="1" x="63"/>
        <item m="1" x="64"/>
        <item m="1" x="65"/>
        <item m="1" x="66"/>
        <item m="1" x="67"/>
        <item m="1" x="68"/>
        <item m="1" x="69"/>
        <item m="1" x="70"/>
        <item m="1" x="49"/>
        <item m="1" x="50"/>
        <item m="1" x="34"/>
        <item m="1" x="35"/>
        <item m="1" x="36"/>
        <item m="1" x="37"/>
        <item m="1" x="38"/>
        <item m="1" x="39"/>
        <item m="1" x="40"/>
        <item m="1" x="41"/>
        <item m="1" x="42"/>
        <item m="1" x="43"/>
        <item m="1" x="44"/>
        <item m="1" x="45"/>
        <item m="1" x="46"/>
        <item m="1" x="47"/>
        <item m="1" x="48"/>
        <item m="1" x="27"/>
        <item m="1" x="28"/>
        <item m="1" x="29"/>
        <item m="1" x="30"/>
        <item m="1" x="31"/>
        <item m="1" x="32"/>
        <item m="1" x="33"/>
        <item x="1"/>
        <item x="2"/>
        <item x="3"/>
        <item x="4"/>
        <item x="5"/>
        <item x="6"/>
        <item x="7"/>
        <item x="8"/>
        <item x="9"/>
        <item x="10"/>
        <item m="1" x="23"/>
        <item x="12"/>
        <item m="1" x="24"/>
        <item m="1" x="25"/>
        <item m="1" x="26"/>
        <item x="11"/>
        <item x="13"/>
        <item x="14"/>
        <item x="15"/>
        <item x="16"/>
        <item x="17"/>
        <item x="18"/>
        <item x="19"/>
        <item x="20"/>
        <item x="21"/>
        <item x="22"/>
        <item t="default"/>
      </items>
    </pivotField>
    <pivotField showAll="0">
      <items count="14">
        <item x="1"/>
        <item x="2"/>
        <item x="3"/>
        <item x="4"/>
        <item x="5"/>
        <item x="6"/>
        <item x="7"/>
        <item x="8"/>
        <item x="9"/>
        <item x="10"/>
        <item x="11"/>
        <item x="12"/>
        <item h="1"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1"/>
        <item x="2"/>
        <item m="1"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0"/>
        <item x="123"/>
        <item t="default"/>
      </items>
    </pivotField>
  </pivotFields>
  <rowFields count="1">
    <field x="43"/>
  </rowFields>
  <rowItems count="4">
    <i>
      <x/>
    </i>
    <i>
      <x v="1"/>
    </i>
    <i>
      <x v="2"/>
    </i>
    <i t="grand">
      <x/>
    </i>
  </rowItems>
  <colItems count="1">
    <i/>
  </colItems>
  <dataFields count="1">
    <dataField name="Count of Risk Index_x000a_Based on (Commercial &amp; Financial Risk)" fld="43" subtotal="count" baseField="0" baseItem="0"/>
  </dataFields>
  <formats count="18">
    <format dxfId="218">
      <pivotArea type="all" dataOnly="0" outline="0" fieldPosition="0"/>
    </format>
    <format dxfId="217">
      <pivotArea outline="0" collapsedLevelsAreSubtotals="1" fieldPosition="0"/>
    </format>
    <format dxfId="216">
      <pivotArea field="43" type="button" dataOnly="0" labelOnly="1" outline="0" axis="axisRow" fieldPosition="0"/>
    </format>
    <format dxfId="215">
      <pivotArea dataOnly="0" labelOnly="1" fieldPosition="0">
        <references count="1">
          <reference field="43" count="0"/>
        </references>
      </pivotArea>
    </format>
    <format dxfId="214">
      <pivotArea dataOnly="0" labelOnly="1" grandRow="1" outline="0" fieldPosition="0"/>
    </format>
    <format dxfId="213">
      <pivotArea dataOnly="0" labelOnly="1" outline="0" axis="axisValues" fieldPosition="0"/>
    </format>
    <format dxfId="212">
      <pivotArea type="all" dataOnly="0" outline="0" fieldPosition="0"/>
    </format>
    <format dxfId="211">
      <pivotArea outline="0" collapsedLevelsAreSubtotals="1" fieldPosition="0"/>
    </format>
    <format dxfId="210">
      <pivotArea field="43" type="button" dataOnly="0" labelOnly="1" outline="0" axis="axisRow" fieldPosition="0"/>
    </format>
    <format dxfId="209">
      <pivotArea dataOnly="0" labelOnly="1" fieldPosition="0">
        <references count="1">
          <reference field="43" count="0"/>
        </references>
      </pivotArea>
    </format>
    <format dxfId="208">
      <pivotArea dataOnly="0" labelOnly="1" grandRow="1" outline="0" fieldPosition="0"/>
    </format>
    <format dxfId="207">
      <pivotArea dataOnly="0" labelOnly="1" outline="0" axis="axisValues" fieldPosition="0"/>
    </format>
    <format dxfId="89">
      <pivotArea type="all" dataOnly="0" outline="0" fieldPosition="0"/>
    </format>
    <format dxfId="88">
      <pivotArea outline="0" collapsedLevelsAreSubtotals="1" fieldPosition="0"/>
    </format>
    <format dxfId="87">
      <pivotArea field="43" type="button" dataOnly="0" labelOnly="1" outline="0" axis="axisRow" fieldPosition="0"/>
    </format>
    <format dxfId="86">
      <pivotArea dataOnly="0" labelOnly="1" fieldPosition="0">
        <references count="1">
          <reference field="43" count="0"/>
        </references>
      </pivotArea>
    </format>
    <format dxfId="85">
      <pivotArea dataOnly="0" labelOnly="1" grandRow="1" outline="0" fieldPosition="0"/>
    </format>
    <format dxfId="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C8AD57-2882-40CC-A159-68A6601AD32D}" name="CEO Contract &amp; Estimated 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Z10:AB23" firstHeaderRow="0" firstDataRow="1" firstDataCol="1"/>
  <pivotFields count="13">
    <pivotField showAll="0"/>
    <pivotField showAll="0"/>
    <pivotField showAll="0"/>
    <pivotField showAll="0"/>
    <pivotField numFmtId="9" showAll="0"/>
    <pivotField showAll="0"/>
    <pivotField showAll="0">
      <items count="14">
        <item x="0"/>
        <item x="1"/>
        <item x="2"/>
        <item x="3"/>
        <item x="4"/>
        <item x="5"/>
        <item x="6"/>
        <item x="7"/>
        <item x="8"/>
        <item x="9"/>
        <item x="10"/>
        <item x="11"/>
        <item h="1" x="12"/>
        <item t="default"/>
      </items>
    </pivotField>
    <pivotField axis="axisRow" showAll="0" sortType="ascending">
      <items count="14">
        <item x="0"/>
        <item x="1"/>
        <item x="3"/>
        <item x="2"/>
        <item x="7"/>
        <item x="8"/>
        <item x="9"/>
        <item x="10"/>
        <item x="11"/>
        <item x="4"/>
        <item x="5"/>
        <item x="6"/>
        <item h="1" x="12"/>
        <item t="default"/>
      </items>
    </pivotField>
    <pivotField showAll="0"/>
    <pivotField dataField="1" numFmtId="164" showAll="0"/>
    <pivotField dataField="1" numFmtId="164" showAll="0"/>
    <pivotField showAll="0"/>
    <pivotField showAll="0"/>
  </pivotFields>
  <rowFields count="1">
    <field x="7"/>
  </rowFields>
  <rowItems count="13">
    <i>
      <x/>
    </i>
    <i>
      <x v="1"/>
    </i>
    <i>
      <x v="2"/>
    </i>
    <i>
      <x v="3"/>
    </i>
    <i>
      <x v="4"/>
    </i>
    <i>
      <x v="5"/>
    </i>
    <i>
      <x v="6"/>
    </i>
    <i>
      <x v="7"/>
    </i>
    <i>
      <x v="8"/>
    </i>
    <i>
      <x v="9"/>
    </i>
    <i>
      <x v="10"/>
    </i>
    <i>
      <x v="11"/>
    </i>
    <i t="grand">
      <x/>
    </i>
  </rowItems>
  <colFields count="1">
    <field x="-2"/>
  </colFields>
  <colItems count="2">
    <i>
      <x/>
    </i>
    <i i="1">
      <x v="1"/>
    </i>
  </colItems>
  <dataFields count="2">
    <dataField name="Sum of Contract Value" fld="9" baseField="0" baseItem="0" numFmtId="164"/>
    <dataField name="Sum of Estimated Value" fld="10" baseField="0" baseItem="0" numFmtId="164"/>
  </dataFields>
  <formats count="16">
    <format dxfId="228">
      <pivotArea type="all" dataOnly="0" outline="0" fieldPosition="0"/>
    </format>
    <format dxfId="227">
      <pivotArea outline="0" collapsedLevelsAreSubtotals="1" fieldPosition="0"/>
    </format>
    <format dxfId="226">
      <pivotArea field="6" type="button" dataOnly="0" labelOnly="1" outline="0"/>
    </format>
    <format dxfId="225">
      <pivotArea dataOnly="0" labelOnly="1" grandRow="1" outline="0" fieldPosition="0"/>
    </format>
    <format dxfId="224">
      <pivotArea dataOnly="0" labelOnly="1" outline="0" fieldPosition="0">
        <references count="1">
          <reference field="4294967294" count="2">
            <x v="0"/>
            <x v="1"/>
          </reference>
        </references>
      </pivotArea>
    </format>
    <format dxfId="223">
      <pivotArea type="all" dataOnly="0" outline="0" fieldPosition="0"/>
    </format>
    <format dxfId="222">
      <pivotArea outline="0" collapsedLevelsAreSubtotals="1" fieldPosition="0"/>
    </format>
    <format dxfId="221">
      <pivotArea field="6" type="button" dataOnly="0" labelOnly="1" outline="0"/>
    </format>
    <format dxfId="220">
      <pivotArea dataOnly="0" labelOnly="1" grandRow="1" outline="0" fieldPosition="0"/>
    </format>
    <format dxfId="219">
      <pivotArea dataOnly="0" labelOnly="1" outline="0" fieldPosition="0">
        <references count="1">
          <reference field="4294967294" count="2">
            <x v="0"/>
            <x v="1"/>
          </reference>
        </references>
      </pivotArea>
    </format>
    <format dxfId="83">
      <pivotArea type="all" dataOnly="0" outline="0" fieldPosition="0"/>
    </format>
    <format dxfId="82">
      <pivotArea outline="0" collapsedLevelsAreSubtotals="1" fieldPosition="0"/>
    </format>
    <format dxfId="81">
      <pivotArea field="7" type="button" dataOnly="0" labelOnly="1" outline="0" axis="axisRow" fieldPosition="0"/>
    </format>
    <format dxfId="80">
      <pivotArea dataOnly="0" labelOnly="1" fieldPosition="0">
        <references count="1">
          <reference field="7" count="0"/>
        </references>
      </pivotArea>
    </format>
    <format dxfId="79">
      <pivotArea dataOnly="0" labelOnly="1" grandRow="1" outline="0" fieldPosition="0"/>
    </format>
    <format dxfId="78">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68F51D-5A47-4677-9A38-CEF9D7222C05}" name="Risk Assessment"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I10:J14" firstHeaderRow="1" firstDataRow="1" firstDataCol="1"/>
  <pivotFields count="53">
    <pivotField showAll="0"/>
    <pivotField showAll="0">
      <items count="24">
        <item x="9"/>
        <item x="22"/>
        <item x="12"/>
        <item x="16"/>
        <item x="18"/>
        <item x="6"/>
        <item x="13"/>
        <item x="19"/>
        <item x="5"/>
        <item x="7"/>
        <item x="11"/>
        <item x="17"/>
        <item x="2"/>
        <item x="21"/>
        <item x="3"/>
        <item x="4"/>
        <item x="15"/>
        <item x="20"/>
        <item x="1"/>
        <item x="8"/>
        <item x="10"/>
        <item x="14"/>
        <item x="0"/>
        <item t="default"/>
      </items>
    </pivotField>
    <pivotField showAll="0">
      <items count="5">
        <item x="1"/>
        <item x="2"/>
        <item x="3"/>
        <item h="1" x="0"/>
        <item t="default"/>
      </items>
    </pivotField>
    <pivotField showAll="0"/>
    <pivotField showAll="0">
      <items count="5">
        <item x="2"/>
        <item x="1"/>
        <item x="3"/>
        <item x="0"/>
        <item t="default"/>
      </items>
    </pivotField>
    <pivotField showAll="0"/>
    <pivotField showAll="0">
      <items count="5">
        <item x="2"/>
        <item x="1"/>
        <item x="3"/>
        <item x="0"/>
        <item t="default"/>
      </items>
    </pivotField>
    <pivotField showAll="0"/>
    <pivotField showAll="0">
      <items count="81">
        <item x="0"/>
        <item m="1" x="72"/>
        <item m="1" x="73"/>
        <item m="1" x="74"/>
        <item m="1" x="75"/>
        <item m="1" x="76"/>
        <item m="1" x="77"/>
        <item m="1" x="78"/>
        <item m="1" x="79"/>
        <item m="1" x="71"/>
        <item m="1" x="51"/>
        <item m="1" x="52"/>
        <item m="1" x="53"/>
        <item m="1" x="54"/>
        <item m="1" x="55"/>
        <item m="1" x="56"/>
        <item m="1" x="57"/>
        <item m="1" x="58"/>
        <item m="1" x="59"/>
        <item m="1" x="60"/>
        <item m="1" x="61"/>
        <item m="1" x="62"/>
        <item m="1" x="63"/>
        <item m="1" x="64"/>
        <item m="1" x="65"/>
        <item m="1" x="66"/>
        <item m="1" x="67"/>
        <item m="1" x="68"/>
        <item m="1" x="69"/>
        <item m="1" x="70"/>
        <item m="1" x="49"/>
        <item m="1" x="50"/>
        <item m="1" x="34"/>
        <item m="1" x="35"/>
        <item m="1" x="36"/>
        <item m="1" x="37"/>
        <item m="1" x="38"/>
        <item m="1" x="39"/>
        <item m="1" x="40"/>
        <item m="1" x="41"/>
        <item m="1" x="42"/>
        <item m="1" x="43"/>
        <item m="1" x="44"/>
        <item m="1" x="45"/>
        <item m="1" x="46"/>
        <item m="1" x="47"/>
        <item m="1" x="48"/>
        <item m="1" x="27"/>
        <item m="1" x="28"/>
        <item m="1" x="29"/>
        <item m="1" x="30"/>
        <item m="1" x="31"/>
        <item m="1" x="32"/>
        <item m="1" x="33"/>
        <item x="1"/>
        <item x="2"/>
        <item x="3"/>
        <item x="4"/>
        <item x="5"/>
        <item x="6"/>
        <item x="7"/>
        <item x="8"/>
        <item x="9"/>
        <item x="10"/>
        <item m="1" x="23"/>
        <item x="12"/>
        <item m="1" x="24"/>
        <item m="1" x="25"/>
        <item m="1" x="26"/>
        <item x="11"/>
        <item x="13"/>
        <item x="14"/>
        <item x="15"/>
        <item x="16"/>
        <item x="17"/>
        <item x="18"/>
        <item x="19"/>
        <item x="20"/>
        <item x="21"/>
        <item x="22"/>
        <item t="default"/>
      </items>
    </pivotField>
    <pivotField showAll="0">
      <items count="14">
        <item x="1"/>
        <item x="2"/>
        <item x="3"/>
        <item x="4"/>
        <item x="5"/>
        <item x="6"/>
        <item x="7"/>
        <item x="8"/>
        <item x="9"/>
        <item x="10"/>
        <item x="11"/>
        <item x="12"/>
        <item h="1"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1"/>
        <item x="2"/>
        <item m="1"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0"/>
        <item x="123"/>
        <item t="default"/>
      </items>
    </pivotField>
  </pivotFields>
  <rowFields count="1">
    <field x="43"/>
  </rowFields>
  <rowItems count="4">
    <i>
      <x/>
    </i>
    <i>
      <x v="1"/>
    </i>
    <i>
      <x v="2"/>
    </i>
    <i t="grand">
      <x/>
    </i>
  </rowItems>
  <colItems count="1">
    <i/>
  </colItems>
  <dataFields count="1">
    <dataField name="Count of Risk Index_x000a_Based on (Commercial &amp; Financial Risk)" fld="43" subtotal="count" showDataAs="percentOfTotal" baseField="0" baseItem="0" numFmtId="10"/>
  </dataFields>
  <formats count="18">
    <format dxfId="240">
      <pivotArea type="all" dataOnly="0" outline="0" fieldPosition="0"/>
    </format>
    <format dxfId="239">
      <pivotArea outline="0" collapsedLevelsAreSubtotals="1" fieldPosition="0"/>
    </format>
    <format dxfId="238">
      <pivotArea field="43" type="button" dataOnly="0" labelOnly="1" outline="0" axis="axisRow" fieldPosition="0"/>
    </format>
    <format dxfId="237">
      <pivotArea dataOnly="0" labelOnly="1" fieldPosition="0">
        <references count="1">
          <reference field="43" count="0"/>
        </references>
      </pivotArea>
    </format>
    <format dxfId="236">
      <pivotArea dataOnly="0" labelOnly="1" grandRow="1" outline="0" fieldPosition="0"/>
    </format>
    <format dxfId="235">
      <pivotArea dataOnly="0" labelOnly="1" outline="0" axis="axisValues" fieldPosition="0"/>
    </format>
    <format dxfId="234">
      <pivotArea type="all" dataOnly="0" outline="0" fieldPosition="0"/>
    </format>
    <format dxfId="233">
      <pivotArea outline="0" collapsedLevelsAreSubtotals="1" fieldPosition="0"/>
    </format>
    <format dxfId="232">
      <pivotArea field="43" type="button" dataOnly="0" labelOnly="1" outline="0" axis="axisRow" fieldPosition="0"/>
    </format>
    <format dxfId="231">
      <pivotArea dataOnly="0" labelOnly="1" fieldPosition="0">
        <references count="1">
          <reference field="43" count="0"/>
        </references>
      </pivotArea>
    </format>
    <format dxfId="230">
      <pivotArea dataOnly="0" labelOnly="1" grandRow="1" outline="0" fieldPosition="0"/>
    </format>
    <format dxfId="229">
      <pivotArea dataOnly="0" labelOnly="1" outline="0" axis="axisValues" fieldPosition="0"/>
    </format>
    <format dxfId="77">
      <pivotArea type="all" dataOnly="0" outline="0" fieldPosition="0"/>
    </format>
    <format dxfId="76">
      <pivotArea outline="0" collapsedLevelsAreSubtotals="1" fieldPosition="0"/>
    </format>
    <format dxfId="75">
      <pivotArea field="43" type="button" dataOnly="0" labelOnly="1" outline="0" axis="axisRow" fieldPosition="0"/>
    </format>
    <format dxfId="74">
      <pivotArea dataOnly="0" labelOnly="1" fieldPosition="0">
        <references count="1">
          <reference field="43" count="0"/>
        </references>
      </pivotArea>
    </format>
    <format dxfId="73">
      <pivotArea dataOnly="0" labelOnly="1" grandRow="1" outline="0" fieldPosition="0"/>
    </format>
    <format dxfId="72">
      <pivotArea dataOnly="0" labelOnly="1" outline="0" axis="axisValues" fieldPosition="0"/>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3" count="1" selected="0">
            <x v="0"/>
          </reference>
        </references>
      </pivotArea>
    </chartFormat>
    <chartFormat chart="3" format="4">
      <pivotArea type="data" outline="0" fieldPosition="0">
        <references count="2">
          <reference field="4294967294" count="1" selected="0">
            <x v="0"/>
          </reference>
          <reference field="43" count="1" selected="0">
            <x v="1"/>
          </reference>
        </references>
      </pivotArea>
    </chartFormat>
    <chartFormat chart="3" format="5">
      <pivotArea type="data" outline="0" fieldPosition="0">
        <references count="2">
          <reference field="4294967294" count="1" selected="0">
            <x v="0"/>
          </reference>
          <reference field="4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21E9EB-ED2A-47A2-AD94-02677C44D1E9}" name="CEO Won Projects Graph"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W31:X37" firstHeaderRow="1" firstDataRow="1" firstDataCol="1" rowPageCount="1" colPageCount="1"/>
  <pivotFields count="53">
    <pivotField showAll="0"/>
    <pivotField showAll="0"/>
    <pivotField showAll="0"/>
    <pivotField showAll="0"/>
    <pivotField showAll="0"/>
    <pivotField showAll="0"/>
    <pivotField showAll="0"/>
    <pivotField showAll="0"/>
    <pivotField showAll="0">
      <items count="81">
        <item x="0"/>
        <item m="1" x="72"/>
        <item m="1" x="73"/>
        <item m="1" x="74"/>
        <item m="1" x="75"/>
        <item m="1" x="76"/>
        <item m="1" x="77"/>
        <item m="1" x="78"/>
        <item m="1" x="79"/>
        <item m="1" x="71"/>
        <item m="1" x="51"/>
        <item m="1" x="52"/>
        <item m="1" x="53"/>
        <item m="1" x="54"/>
        <item m="1" x="55"/>
        <item m="1" x="56"/>
        <item m="1" x="57"/>
        <item m="1" x="58"/>
        <item m="1" x="59"/>
        <item m="1" x="60"/>
        <item m="1" x="61"/>
        <item m="1" x="62"/>
        <item m="1" x="63"/>
        <item m="1" x="64"/>
        <item m="1" x="65"/>
        <item m="1" x="66"/>
        <item m="1" x="67"/>
        <item m="1" x="68"/>
        <item m="1" x="69"/>
        <item m="1" x="70"/>
        <item m="1" x="49"/>
        <item m="1" x="50"/>
        <item m="1" x="34"/>
        <item m="1" x="35"/>
        <item m="1" x="36"/>
        <item m="1" x="37"/>
        <item m="1" x="38"/>
        <item m="1" x="39"/>
        <item m="1" x="40"/>
        <item m="1" x="41"/>
        <item m="1" x="42"/>
        <item m="1" x="43"/>
        <item m="1" x="44"/>
        <item m="1" x="45"/>
        <item m="1" x="46"/>
        <item m="1" x="47"/>
        <item m="1" x="48"/>
        <item m="1" x="27"/>
        <item m="1" x="28"/>
        <item m="1" x="29"/>
        <item m="1" x="30"/>
        <item m="1" x="31"/>
        <item m="1" x="32"/>
        <item m="1" x="33"/>
        <item x="1"/>
        <item x="2"/>
        <item x="3"/>
        <item x="4"/>
        <item x="5"/>
        <item x="6"/>
        <item x="7"/>
        <item x="8"/>
        <item x="9"/>
        <item x="10"/>
        <item m="1" x="23"/>
        <item x="12"/>
        <item m="1" x="24"/>
        <item m="1" x="25"/>
        <item m="1" x="26"/>
        <item x="11"/>
        <item x="13"/>
        <item x="14"/>
        <item x="15"/>
        <item x="16"/>
        <item x="17"/>
        <item x="18"/>
        <item x="19"/>
        <item x="20"/>
        <item x="21"/>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h="1" x="4"/>
        <item h="1" x="3"/>
        <item h="1" x="1"/>
        <item x="2"/>
        <item h="1"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axis="axisRow" showAll="0">
      <items count="125">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h="1" sd="0" x="86"/>
        <item h="1" sd="0" x="87"/>
        <item h="1" sd="0" x="88"/>
        <item h="1" sd="0" x="89"/>
        <item h="1" sd="0" x="90"/>
        <item h="1" sd="0" x="91"/>
        <item h="1" sd="0" x="92"/>
        <item h="1" sd="0" x="93"/>
        <item h="1" sd="0" x="94"/>
        <item h="1" sd="0" x="95"/>
        <item h="1" sd="0" x="96"/>
        <item h="1" sd="0" x="97"/>
        <item h="1" sd="0" x="98"/>
        <item h="1" sd="0" x="99"/>
        <item h="1" sd="0" x="100"/>
        <item h="1" sd="0" x="101"/>
        <item h="1" sd="0" x="102"/>
        <item h="1" sd="0" x="103"/>
        <item h="1" sd="0" x="104"/>
        <item h="1" sd="0" x="105"/>
        <item h="1" sd="0" x="106"/>
        <item h="1" sd="0" x="107"/>
        <item h="1" sd="0" x="108"/>
        <item h="1" sd="0" x="109"/>
        <item h="1" sd="0" x="110"/>
        <item h="1" sd="0" x="111"/>
        <item h="1" sd="0" x="112"/>
        <item h="1" sd="0" x="113"/>
        <item h="1" sd="0" x="114"/>
        <item h="1" sd="0" x="115"/>
        <item h="1" sd="0" x="116"/>
        <item h="1" sd="0" x="117"/>
        <item sd="0" x="118"/>
        <item sd="0" x="119"/>
        <item sd="0" x="120"/>
        <item sd="0" x="121"/>
        <item sd="0" x="122"/>
        <item h="1" x="0"/>
        <item h="1" x="123"/>
        <item t="default"/>
      </items>
    </pivotField>
  </pivotFields>
  <rowFields count="1">
    <field x="52"/>
  </rowFields>
  <rowItems count="6">
    <i>
      <x v="117"/>
    </i>
    <i>
      <x v="118"/>
    </i>
    <i>
      <x v="119"/>
    </i>
    <i>
      <x v="120"/>
    </i>
    <i>
      <x v="121"/>
    </i>
    <i t="grand">
      <x/>
    </i>
  </rowItems>
  <colItems count="1">
    <i/>
  </colItems>
  <pageFields count="1">
    <pageField fld="47" hier="-1"/>
  </pageFields>
  <dataFields count="1">
    <dataField name="Count of Won, Lost &amp; Pending" fld="47" subtotal="count" showDataAs="percentOfTotal" baseField="0" baseItem="0" numFmtId="10"/>
  </dataFields>
  <formats count="18">
    <format dxfId="252">
      <pivotArea type="all" dataOnly="0" outline="0" fieldPosition="0"/>
    </format>
    <format dxfId="251">
      <pivotArea outline="0" collapsedLevelsAreSubtotals="1" fieldPosition="0"/>
    </format>
    <format dxfId="250">
      <pivotArea field="52" type="button" dataOnly="0" labelOnly="1" outline="0" axis="axisRow" fieldPosition="0"/>
    </format>
    <format dxfId="249">
      <pivotArea dataOnly="0" labelOnly="1" fieldPosition="0">
        <references count="1">
          <reference field="52" count="4">
            <x v="117"/>
            <x v="118"/>
            <x v="119"/>
            <x v="121"/>
          </reference>
        </references>
      </pivotArea>
    </format>
    <format dxfId="248">
      <pivotArea dataOnly="0" labelOnly="1" grandRow="1" outline="0" fieldPosition="0"/>
    </format>
    <format dxfId="247">
      <pivotArea dataOnly="0" labelOnly="1" outline="0" axis="axisValues" fieldPosition="0"/>
    </format>
    <format dxfId="246">
      <pivotArea type="all" dataOnly="0" outline="0" fieldPosition="0"/>
    </format>
    <format dxfId="245">
      <pivotArea outline="0" collapsedLevelsAreSubtotals="1" fieldPosition="0"/>
    </format>
    <format dxfId="244">
      <pivotArea field="52" type="button" dataOnly="0" labelOnly="1" outline="0" axis="axisRow" fieldPosition="0"/>
    </format>
    <format dxfId="243">
      <pivotArea dataOnly="0" labelOnly="1" fieldPosition="0">
        <references count="1">
          <reference field="52" count="4">
            <x v="117"/>
            <x v="118"/>
            <x v="119"/>
            <x v="121"/>
          </reference>
        </references>
      </pivotArea>
    </format>
    <format dxfId="242">
      <pivotArea dataOnly="0" labelOnly="1" grandRow="1" outline="0" fieldPosition="0"/>
    </format>
    <format dxfId="241">
      <pivotArea dataOnly="0" labelOnly="1" outline="0" axis="axisValues" fieldPosition="0"/>
    </format>
    <format dxfId="71">
      <pivotArea type="all" dataOnly="0" outline="0" fieldPosition="0"/>
    </format>
    <format dxfId="70">
      <pivotArea outline="0" collapsedLevelsAreSubtotals="1" fieldPosition="0"/>
    </format>
    <format dxfId="69">
      <pivotArea field="52" type="button" dataOnly="0" labelOnly="1" outline="0" axis="axisRow" fieldPosition="0"/>
    </format>
    <format dxfId="68">
      <pivotArea dataOnly="0" labelOnly="1" fieldPosition="0">
        <references count="1">
          <reference field="52" count="0"/>
        </references>
      </pivotArea>
    </format>
    <format dxfId="67">
      <pivotArea dataOnly="0" labelOnly="1" grandRow="1" outline="0" fieldPosition="0"/>
    </format>
    <format dxfId="66">
      <pivotArea dataOnly="0" labelOnly="1" outline="0" axis="axisValues" fieldPosition="0"/>
    </format>
  </formats>
  <chartFormats count="1">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B9B47A-3D17-4A9B-8BAE-6BE02AE13199}" name="Win Probability by Loca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1:C44" firstHeaderRow="1" firstDataRow="1" firstDataCol="1"/>
  <pivotFields count="53">
    <pivotField showAll="0"/>
    <pivotField axis="axisRow" showAll="0">
      <items count="24">
        <item x="9"/>
        <item x="22"/>
        <item x="12"/>
        <item x="16"/>
        <item x="18"/>
        <item x="6"/>
        <item x="13"/>
        <item x="19"/>
        <item x="5"/>
        <item x="7"/>
        <item x="11"/>
        <item x="17"/>
        <item x="2"/>
        <item x="21"/>
        <item x="3"/>
        <item x="4"/>
        <item x="15"/>
        <item x="20"/>
        <item x="1"/>
        <item x="8"/>
        <item x="10"/>
        <item x="14"/>
        <item h="1" x="0"/>
        <item t="default"/>
      </items>
    </pivotField>
    <pivotField showAll="0"/>
    <pivotField showAll="0"/>
    <pivotField showAll="0"/>
    <pivotField showAll="0"/>
    <pivotField showAll="0"/>
    <pivotField showAll="0"/>
    <pivotField showAll="0">
      <items count="81">
        <item m="1" x="71"/>
        <item x="0"/>
        <item m="1" x="49"/>
        <item m="1" x="50"/>
        <item m="1" x="72"/>
        <item m="1" x="51"/>
        <item m="1" x="52"/>
        <item m="1" x="53"/>
        <item m="1" x="54"/>
        <item m="1" x="55"/>
        <item m="1" x="56"/>
        <item m="1" x="57"/>
        <item m="1" x="73"/>
        <item m="1" x="58"/>
        <item m="1" x="59"/>
        <item m="1" x="60"/>
        <item m="1" x="61"/>
        <item m="1" x="62"/>
        <item m="1" x="63"/>
        <item m="1" x="74"/>
        <item m="1" x="64"/>
        <item m="1" x="65"/>
        <item m="1" x="66"/>
        <item m="1" x="67"/>
        <item m="1" x="75"/>
        <item m="1" x="68"/>
        <item m="1" x="69"/>
        <item m="1" x="70"/>
        <item m="1" x="76"/>
        <item m="1" x="77"/>
        <item m="1" x="78"/>
        <item m="1" x="79"/>
        <item m="1" x="34"/>
        <item m="1" x="35"/>
        <item m="1" x="36"/>
        <item m="1" x="37"/>
        <item m="1" x="38"/>
        <item m="1" x="39"/>
        <item m="1" x="40"/>
        <item m="1" x="41"/>
        <item m="1" x="42"/>
        <item m="1" x="43"/>
        <item m="1" x="44"/>
        <item m="1" x="45"/>
        <item m="1" x="46"/>
        <item m="1" x="47"/>
        <item m="1" x="48"/>
        <item m="1" x="27"/>
        <item m="1" x="28"/>
        <item m="1" x="29"/>
        <item m="1" x="30"/>
        <item m="1" x="31"/>
        <item m="1" x="32"/>
        <item m="1" x="33"/>
        <item x="1"/>
        <item x="2"/>
        <item x="3"/>
        <item x="4"/>
        <item x="5"/>
        <item x="6"/>
        <item x="7"/>
        <item x="8"/>
        <item x="9"/>
        <item x="10"/>
        <item m="1" x="23"/>
        <item x="12"/>
        <item m="1" x="24"/>
        <item m="1" x="25"/>
        <item m="1" x="26"/>
        <item x="11"/>
        <item x="13"/>
        <item x="14"/>
        <item x="15"/>
        <item x="16"/>
        <item x="17"/>
        <item x="18"/>
        <item x="19"/>
        <item x="20"/>
        <item x="21"/>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s>
    </pivotField>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Expect_x000a_Win %" fld="45" baseField="0" baseItem="0"/>
  </dataFields>
  <formats count="22">
    <format dxfId="268">
      <pivotArea collapsedLevelsAreSubtotals="1" fieldPosition="0">
        <references count="1">
          <reference field="1" count="1">
            <x v="0"/>
          </reference>
        </references>
      </pivotArea>
    </format>
    <format dxfId="267">
      <pivotArea collapsedLevelsAreSubtotals="1" fieldPosition="0">
        <references count="1">
          <reference field="1" count="22">
            <x v="0"/>
            <x v="1"/>
            <x v="2"/>
            <x v="3"/>
            <x v="4"/>
            <x v="5"/>
            <x v="6"/>
            <x v="7"/>
            <x v="8"/>
            <x v="9"/>
            <x v="10"/>
            <x v="11"/>
            <x v="12"/>
            <x v="13"/>
            <x v="14"/>
            <x v="15"/>
            <x v="16"/>
            <x v="17"/>
            <x v="18"/>
            <x v="19"/>
            <x v="20"/>
            <x v="21"/>
          </reference>
        </references>
      </pivotArea>
    </format>
    <format dxfId="266">
      <pivotArea collapsedLevelsAreSubtotals="1" fieldPosition="0">
        <references count="1">
          <reference field="1" count="1">
            <x v="22"/>
          </reference>
        </references>
      </pivotArea>
    </format>
    <format dxfId="265">
      <pivotArea grandRow="1" outline="0" collapsedLevelsAreSubtotals="1" fieldPosition="0"/>
    </format>
    <format dxfId="264">
      <pivotArea type="all" dataOnly="0" outline="0" fieldPosition="0"/>
    </format>
    <format dxfId="263">
      <pivotArea outline="0" collapsedLevelsAreSubtotals="1" fieldPosition="0"/>
    </format>
    <format dxfId="262">
      <pivotArea field="1" type="button" dataOnly="0" labelOnly="1" outline="0" axis="axisRow" fieldPosition="0"/>
    </format>
    <format dxfId="261">
      <pivotArea dataOnly="0" labelOnly="1" fieldPosition="0">
        <references count="1">
          <reference field="1" count="0"/>
        </references>
      </pivotArea>
    </format>
    <format dxfId="260">
      <pivotArea dataOnly="0" labelOnly="1" grandRow="1" outline="0" fieldPosition="0"/>
    </format>
    <format dxfId="259">
      <pivotArea dataOnly="0" labelOnly="1" outline="0" axis="axisValues" fieldPosition="0"/>
    </format>
    <format dxfId="258">
      <pivotArea type="all" dataOnly="0" outline="0" fieldPosition="0"/>
    </format>
    <format dxfId="257">
      <pivotArea outline="0" collapsedLevelsAreSubtotals="1" fieldPosition="0"/>
    </format>
    <format dxfId="256">
      <pivotArea field="1" type="button" dataOnly="0" labelOnly="1" outline="0" axis="axisRow" fieldPosition="0"/>
    </format>
    <format dxfId="255">
      <pivotArea dataOnly="0" labelOnly="1" fieldPosition="0">
        <references count="1">
          <reference field="1" count="0"/>
        </references>
      </pivotArea>
    </format>
    <format dxfId="254">
      <pivotArea dataOnly="0" labelOnly="1" grandRow="1" outline="0" fieldPosition="0"/>
    </format>
    <format dxfId="253">
      <pivotArea dataOnly="0" labelOnly="1" outline="0" axis="axisValues" fieldPosition="0"/>
    </format>
    <format dxfId="65">
      <pivotArea type="all" dataOnly="0" outline="0" fieldPosition="0"/>
    </format>
    <format dxfId="64">
      <pivotArea outline="0" collapsedLevelsAreSubtotals="1" fieldPosition="0"/>
    </format>
    <format dxfId="63">
      <pivotArea field="1" type="button" dataOnly="0" labelOnly="1" outline="0" axis="axisRow" fieldPosition="0"/>
    </format>
    <format dxfId="62">
      <pivotArea dataOnly="0" labelOnly="1" fieldPosition="0">
        <references count="1">
          <reference field="1" count="0"/>
        </references>
      </pivotArea>
    </format>
    <format dxfId="61">
      <pivotArea dataOnly="0" labelOnly="1" grandRow="1" outline="0" fieldPosition="0"/>
    </format>
    <format dxfId="6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946AC2-41FF-4550-803E-A17D90C8BCE3}" name="Count of Projects 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7:G21" firstHeaderRow="1" firstDataRow="1" firstDataCol="1"/>
  <pivotFields count="53">
    <pivotField showAll="0"/>
    <pivotField showAll="0">
      <items count="24">
        <item x="9"/>
        <item x="22"/>
        <item x="12"/>
        <item x="16"/>
        <item x="18"/>
        <item x="6"/>
        <item x="13"/>
        <item x="19"/>
        <item x="5"/>
        <item x="7"/>
        <item x="11"/>
        <item x="17"/>
        <item x="2"/>
        <item x="21"/>
        <item x="3"/>
        <item x="4"/>
        <item x="15"/>
        <item x="20"/>
        <item x="1"/>
        <item x="8"/>
        <item x="10"/>
        <item x="14"/>
        <item x="0"/>
        <item t="default"/>
      </items>
    </pivotField>
    <pivotField axis="axisRow" dataField="1" showAll="0">
      <items count="5">
        <item x="1"/>
        <item x="2"/>
        <item x="3"/>
        <item h="1" x="0"/>
        <item t="default"/>
      </items>
    </pivotField>
    <pivotField showAll="0"/>
    <pivotField showAll="0">
      <items count="5">
        <item x="2"/>
        <item x="1"/>
        <item x="3"/>
        <item x="0"/>
        <item t="default"/>
      </items>
    </pivotField>
    <pivotField showAll="0"/>
    <pivotField showAll="0">
      <items count="5">
        <item x="2"/>
        <item x="1"/>
        <item x="3"/>
        <item x="0"/>
        <item t="default"/>
      </items>
    </pivotField>
    <pivotField showAll="0"/>
    <pivotField showAll="0">
      <items count="81">
        <item x="0"/>
        <item m="1" x="72"/>
        <item m="1" x="73"/>
        <item m="1" x="74"/>
        <item m="1" x="75"/>
        <item m="1" x="76"/>
        <item m="1" x="77"/>
        <item m="1" x="78"/>
        <item m="1" x="79"/>
        <item m="1" x="71"/>
        <item m="1" x="51"/>
        <item m="1" x="52"/>
        <item m="1" x="53"/>
        <item m="1" x="54"/>
        <item m="1" x="55"/>
        <item m="1" x="56"/>
        <item m="1" x="57"/>
        <item m="1" x="58"/>
        <item m="1" x="59"/>
        <item m="1" x="60"/>
        <item m="1" x="61"/>
        <item m="1" x="62"/>
        <item m="1" x="63"/>
        <item m="1" x="64"/>
        <item m="1" x="65"/>
        <item m="1" x="66"/>
        <item m="1" x="67"/>
        <item m="1" x="68"/>
        <item m="1" x="69"/>
        <item m="1" x="70"/>
        <item m="1" x="49"/>
        <item m="1" x="50"/>
        <item m="1" x="34"/>
        <item m="1" x="35"/>
        <item m="1" x="36"/>
        <item m="1" x="37"/>
        <item m="1" x="38"/>
        <item m="1" x="39"/>
        <item m="1" x="40"/>
        <item m="1" x="41"/>
        <item m="1" x="42"/>
        <item m="1" x="43"/>
        <item m="1" x="44"/>
        <item m="1" x="45"/>
        <item m="1" x="46"/>
        <item m="1" x="47"/>
        <item m="1" x="48"/>
        <item m="1" x="27"/>
        <item m="1" x="28"/>
        <item m="1" x="29"/>
        <item m="1" x="30"/>
        <item m="1" x="31"/>
        <item m="1" x="32"/>
        <item m="1" x="33"/>
        <item x="1"/>
        <item x="2"/>
        <item x="3"/>
        <item x="4"/>
        <item x="5"/>
        <item x="6"/>
        <item x="7"/>
        <item x="8"/>
        <item x="9"/>
        <item x="10"/>
        <item m="1" x="23"/>
        <item x="12"/>
        <item m="1" x="24"/>
        <item m="1" x="25"/>
        <item m="1" x="26"/>
        <item x="11"/>
        <item x="13"/>
        <item x="14"/>
        <item x="15"/>
        <item x="16"/>
        <item x="17"/>
        <item x="18"/>
        <item x="19"/>
        <item x="20"/>
        <item x="21"/>
        <item x="22"/>
        <item t="default"/>
      </items>
    </pivotField>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m="1"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0"/>
        <item x="123"/>
        <item t="default"/>
      </items>
    </pivotField>
  </pivotFields>
  <rowFields count="1">
    <field x="2"/>
  </rowFields>
  <rowItems count="4">
    <i>
      <x/>
    </i>
    <i>
      <x v="1"/>
    </i>
    <i>
      <x v="2"/>
    </i>
    <i t="grand">
      <x/>
    </i>
  </rowItems>
  <colItems count="1">
    <i/>
  </colItems>
  <dataFields count="1">
    <dataField name="Count of Project Type" fld="2" subtotal="count" showDataAs="percentOfTotal" baseField="0" baseItem="0" numFmtId="10"/>
  </dataFields>
  <formats count="18">
    <format dxfId="280">
      <pivotArea type="all" dataOnly="0" outline="0" fieldPosition="0"/>
    </format>
    <format dxfId="279">
      <pivotArea outline="0" collapsedLevelsAreSubtotals="1" fieldPosition="0"/>
    </format>
    <format dxfId="278">
      <pivotArea field="2" type="button" dataOnly="0" labelOnly="1" outline="0" axis="axisRow" fieldPosition="0"/>
    </format>
    <format dxfId="277">
      <pivotArea dataOnly="0" labelOnly="1" fieldPosition="0">
        <references count="1">
          <reference field="2" count="3">
            <x v="0"/>
            <x v="1"/>
            <x v="2"/>
          </reference>
        </references>
      </pivotArea>
    </format>
    <format dxfId="276">
      <pivotArea dataOnly="0" labelOnly="1" grandRow="1" outline="0" fieldPosition="0"/>
    </format>
    <format dxfId="275">
      <pivotArea dataOnly="0" labelOnly="1" outline="0" axis="axisValues" fieldPosition="0"/>
    </format>
    <format dxfId="274">
      <pivotArea type="all" dataOnly="0" outline="0" fieldPosition="0"/>
    </format>
    <format dxfId="273">
      <pivotArea outline="0" collapsedLevelsAreSubtotals="1" fieldPosition="0"/>
    </format>
    <format dxfId="272">
      <pivotArea field="2" type="button" dataOnly="0" labelOnly="1" outline="0" axis="axisRow" fieldPosition="0"/>
    </format>
    <format dxfId="271">
      <pivotArea dataOnly="0" labelOnly="1" fieldPosition="0">
        <references count="1">
          <reference field="2" count="0"/>
        </references>
      </pivotArea>
    </format>
    <format dxfId="270">
      <pivotArea dataOnly="0" labelOnly="1" grandRow="1" outline="0" fieldPosition="0"/>
    </format>
    <format dxfId="269">
      <pivotArea dataOnly="0" labelOnly="1" outline="0" axis="axisValues" fieldPosition="0"/>
    </format>
    <format dxfId="59">
      <pivotArea type="all" dataOnly="0" outline="0" fieldPosition="0"/>
    </format>
    <format dxfId="58">
      <pivotArea outline="0" collapsedLevelsAreSubtotals="1" fieldPosition="0"/>
    </format>
    <format dxfId="57">
      <pivotArea field="2" type="button" dataOnly="0" labelOnly="1" outline="0" axis="axisRow" fieldPosition="0"/>
    </format>
    <format dxfId="56">
      <pivotArea dataOnly="0" labelOnly="1" fieldPosition="0">
        <references count="1">
          <reference field="2" count="0"/>
        </references>
      </pivotArea>
    </format>
    <format dxfId="55">
      <pivotArea dataOnly="0" labelOnly="1" grandRow="1" outline="0" fieldPosition="0"/>
    </format>
    <format dxfId="54">
      <pivotArea dataOnly="0" labelOnly="1" outline="0" axis="axisValues" fieldPosition="0"/>
    </format>
  </formats>
  <chartFormats count="5">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 chart="2" format="12">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D3B93A-95E7-4ECD-B804-42CC2303309C}" name="Project Type Slic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2:G36" firstHeaderRow="1" firstDataRow="1" firstDataCol="1"/>
  <pivotFields count="53">
    <pivotField showAll="0"/>
    <pivotField showAll="0">
      <items count="24">
        <item x="9"/>
        <item x="22"/>
        <item x="12"/>
        <item x="16"/>
        <item x="18"/>
        <item x="6"/>
        <item x="13"/>
        <item x="19"/>
        <item x="5"/>
        <item x="7"/>
        <item x="11"/>
        <item x="17"/>
        <item x="2"/>
        <item x="21"/>
        <item x="3"/>
        <item x="4"/>
        <item x="15"/>
        <item x="20"/>
        <item x="1"/>
        <item x="8"/>
        <item x="10"/>
        <item x="14"/>
        <item x="0"/>
        <item t="default"/>
      </items>
    </pivotField>
    <pivotField axis="axisRow" dataField="1" showAll="0">
      <items count="5">
        <item x="1"/>
        <item x="2"/>
        <item x="3"/>
        <item h="1" x="0"/>
        <item t="default"/>
      </items>
    </pivotField>
    <pivotField showAll="0"/>
    <pivotField showAll="0">
      <items count="5">
        <item x="2"/>
        <item x="1"/>
        <item x="3"/>
        <item x="0"/>
        <item t="default"/>
      </items>
    </pivotField>
    <pivotField showAll="0"/>
    <pivotField showAll="0">
      <items count="5">
        <item x="2"/>
        <item x="1"/>
        <item x="3"/>
        <item x="0"/>
        <item t="default"/>
      </items>
    </pivotField>
    <pivotField showAll="0"/>
    <pivotField showAll="0">
      <items count="81">
        <item x="0"/>
        <item m="1" x="72"/>
        <item m="1" x="73"/>
        <item m="1" x="74"/>
        <item m="1" x="75"/>
        <item m="1" x="76"/>
        <item m="1" x="77"/>
        <item m="1" x="78"/>
        <item m="1" x="79"/>
        <item m="1" x="71"/>
        <item m="1" x="51"/>
        <item m="1" x="52"/>
        <item m="1" x="53"/>
        <item m="1" x="54"/>
        <item m="1" x="55"/>
        <item m="1" x="56"/>
        <item m="1" x="57"/>
        <item m="1" x="58"/>
        <item m="1" x="59"/>
        <item m="1" x="60"/>
        <item m="1" x="61"/>
        <item m="1" x="62"/>
        <item m="1" x="63"/>
        <item m="1" x="64"/>
        <item m="1" x="65"/>
        <item m="1" x="66"/>
        <item m="1" x="67"/>
        <item m="1" x="68"/>
        <item m="1" x="69"/>
        <item m="1" x="70"/>
        <item m="1" x="49"/>
        <item m="1" x="50"/>
        <item m="1" x="34"/>
        <item m="1" x="35"/>
        <item m="1" x="36"/>
        <item m="1" x="37"/>
        <item m="1" x="38"/>
        <item m="1" x="39"/>
        <item m="1" x="40"/>
        <item m="1" x="41"/>
        <item m="1" x="42"/>
        <item m="1" x="43"/>
        <item m="1" x="44"/>
        <item m="1" x="45"/>
        <item m="1" x="46"/>
        <item m="1" x="47"/>
        <item m="1" x="48"/>
        <item m="1" x="27"/>
        <item m="1" x="28"/>
        <item m="1" x="29"/>
        <item m="1" x="30"/>
        <item m="1" x="31"/>
        <item m="1" x="32"/>
        <item m="1" x="33"/>
        <item x="1"/>
        <item x="2"/>
        <item x="3"/>
        <item x="4"/>
        <item x="5"/>
        <item x="6"/>
        <item x="7"/>
        <item x="8"/>
        <item x="9"/>
        <item x="10"/>
        <item m="1" x="23"/>
        <item x="12"/>
        <item m="1" x="24"/>
        <item m="1" x="25"/>
        <item m="1" x="26"/>
        <item x="11"/>
        <item x="13"/>
        <item x="14"/>
        <item x="15"/>
        <item x="16"/>
        <item x="17"/>
        <item x="18"/>
        <item x="19"/>
        <item x="20"/>
        <item x="21"/>
        <item x="22"/>
        <item t="default"/>
      </items>
    </pivotField>
    <pivotField showAll="0">
      <items count="14">
        <item x="1"/>
        <item x="2"/>
        <item x="3"/>
        <item x="4"/>
        <item x="5"/>
        <item x="6"/>
        <item x="7"/>
        <item x="8"/>
        <item x="9"/>
        <item x="10"/>
        <item x="11"/>
        <item x="12"/>
        <item h="1"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m="1"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0"/>
        <item x="123"/>
        <item t="default"/>
      </items>
    </pivotField>
  </pivotFields>
  <rowFields count="1">
    <field x="2"/>
  </rowFields>
  <rowItems count="4">
    <i>
      <x/>
    </i>
    <i>
      <x v="1"/>
    </i>
    <i>
      <x v="2"/>
    </i>
    <i t="grand">
      <x/>
    </i>
  </rowItems>
  <colItems count="1">
    <i/>
  </colItems>
  <dataFields count="1">
    <dataField name="Count of Project Type" fld="2" subtotal="count" baseField="0" baseItem="0"/>
  </dataFields>
  <formats count="18">
    <format dxfId="292">
      <pivotArea type="all" dataOnly="0" outline="0" fieldPosition="0"/>
    </format>
    <format dxfId="291">
      <pivotArea outline="0" collapsedLevelsAreSubtotals="1" fieldPosition="0"/>
    </format>
    <format dxfId="290">
      <pivotArea field="2" type="button" dataOnly="0" labelOnly="1" outline="0" axis="axisRow" fieldPosition="0"/>
    </format>
    <format dxfId="289">
      <pivotArea dataOnly="0" labelOnly="1" fieldPosition="0">
        <references count="1">
          <reference field="2" count="3">
            <x v="0"/>
            <x v="1"/>
            <x v="2"/>
          </reference>
        </references>
      </pivotArea>
    </format>
    <format dxfId="288">
      <pivotArea dataOnly="0" labelOnly="1" grandRow="1" outline="0" fieldPosition="0"/>
    </format>
    <format dxfId="287">
      <pivotArea dataOnly="0" labelOnly="1" outline="0" axis="axisValues" fieldPosition="0"/>
    </format>
    <format dxfId="286">
      <pivotArea type="all" dataOnly="0" outline="0" fieldPosition="0"/>
    </format>
    <format dxfId="285">
      <pivotArea outline="0" collapsedLevelsAreSubtotals="1" fieldPosition="0"/>
    </format>
    <format dxfId="284">
      <pivotArea field="2" type="button" dataOnly="0" labelOnly="1" outline="0" axis="axisRow" fieldPosition="0"/>
    </format>
    <format dxfId="283">
      <pivotArea dataOnly="0" labelOnly="1" fieldPosition="0">
        <references count="1">
          <reference field="2" count="3">
            <x v="0"/>
            <x v="1"/>
            <x v="2"/>
          </reference>
        </references>
      </pivotArea>
    </format>
    <format dxfId="282">
      <pivotArea dataOnly="0" labelOnly="1" grandRow="1" outline="0" fieldPosition="0"/>
    </format>
    <format dxfId="281">
      <pivotArea dataOnly="0" labelOnly="1" outline="0" axis="axisValues" fieldPosition="0"/>
    </format>
    <format dxfId="53">
      <pivotArea type="all" dataOnly="0" outline="0" fieldPosition="0"/>
    </format>
    <format dxfId="52">
      <pivotArea outline="0" collapsedLevelsAreSubtotals="1" fieldPosition="0"/>
    </format>
    <format dxfId="51">
      <pivotArea field="2" type="button" dataOnly="0" labelOnly="1" outline="0" axis="axisRow" fieldPosition="0"/>
    </format>
    <format dxfId="50">
      <pivotArea dataOnly="0" labelOnly="1" fieldPosition="0">
        <references count="1">
          <reference field="2" count="0"/>
        </references>
      </pivotArea>
    </format>
    <format dxfId="49">
      <pivotArea dataOnly="0" labelOnly="1" grandRow="1" outline="0"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0F6AA3-7881-405C-90F6-C9E759842E18}" name="Risk Index Slic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9:G43" firstHeaderRow="1" firstDataRow="1" firstDataCol="1"/>
  <pivotFields count="53">
    <pivotField showAll="0"/>
    <pivotField showAll="0">
      <items count="24">
        <item x="9"/>
        <item x="22"/>
        <item x="12"/>
        <item x="16"/>
        <item x="18"/>
        <item x="6"/>
        <item x="13"/>
        <item x="19"/>
        <item x="5"/>
        <item x="7"/>
        <item x="11"/>
        <item x="17"/>
        <item x="2"/>
        <item x="21"/>
        <item x="3"/>
        <item x="4"/>
        <item x="15"/>
        <item x="20"/>
        <item x="1"/>
        <item x="8"/>
        <item x="10"/>
        <item x="14"/>
        <item x="0"/>
        <item t="default"/>
      </items>
    </pivotField>
    <pivotField showAll="0">
      <items count="5">
        <item x="1"/>
        <item x="2"/>
        <item x="3"/>
        <item h="1" x="0"/>
        <item t="default"/>
      </items>
    </pivotField>
    <pivotField showAll="0"/>
    <pivotField showAll="0">
      <items count="5">
        <item x="2"/>
        <item x="1"/>
        <item x="3"/>
        <item x="0"/>
        <item t="default"/>
      </items>
    </pivotField>
    <pivotField showAll="0"/>
    <pivotField showAll="0">
      <items count="5">
        <item x="2"/>
        <item x="1"/>
        <item x="3"/>
        <item x="0"/>
        <item t="default"/>
      </items>
    </pivotField>
    <pivotField showAll="0"/>
    <pivotField showAll="0">
      <items count="81">
        <item x="0"/>
        <item m="1" x="72"/>
        <item m="1" x="73"/>
        <item m="1" x="74"/>
        <item m="1" x="75"/>
        <item m="1" x="76"/>
        <item m="1" x="77"/>
        <item m="1" x="78"/>
        <item m="1" x="79"/>
        <item m="1" x="71"/>
        <item m="1" x="51"/>
        <item m="1" x="52"/>
        <item m="1" x="53"/>
        <item m="1" x="54"/>
        <item m="1" x="55"/>
        <item m="1" x="56"/>
        <item m="1" x="57"/>
        <item m="1" x="58"/>
        <item m="1" x="59"/>
        <item m="1" x="60"/>
        <item m="1" x="61"/>
        <item m="1" x="62"/>
        <item m="1" x="63"/>
        <item m="1" x="64"/>
        <item m="1" x="65"/>
        <item m="1" x="66"/>
        <item m="1" x="67"/>
        <item m="1" x="68"/>
        <item m="1" x="69"/>
        <item m="1" x="70"/>
        <item m="1" x="49"/>
        <item m="1" x="50"/>
        <item m="1" x="34"/>
        <item m="1" x="35"/>
        <item m="1" x="36"/>
        <item m="1" x="37"/>
        <item m="1" x="38"/>
        <item m="1" x="39"/>
        <item m="1" x="40"/>
        <item m="1" x="41"/>
        <item m="1" x="42"/>
        <item m="1" x="43"/>
        <item m="1" x="44"/>
        <item m="1" x="45"/>
        <item m="1" x="46"/>
        <item m="1" x="47"/>
        <item m="1" x="48"/>
        <item m="1" x="27"/>
        <item m="1" x="28"/>
        <item m="1" x="29"/>
        <item m="1" x="30"/>
        <item m="1" x="31"/>
        <item m="1" x="32"/>
        <item m="1" x="33"/>
        <item x="1"/>
        <item x="2"/>
        <item x="3"/>
        <item x="4"/>
        <item x="5"/>
        <item x="6"/>
        <item x="7"/>
        <item x="8"/>
        <item x="9"/>
        <item x="10"/>
        <item m="1" x="23"/>
        <item x="12"/>
        <item m="1" x="24"/>
        <item m="1" x="25"/>
        <item m="1" x="26"/>
        <item x="11"/>
        <item x="13"/>
        <item x="14"/>
        <item x="15"/>
        <item x="16"/>
        <item x="17"/>
        <item x="18"/>
        <item x="19"/>
        <item x="20"/>
        <item x="21"/>
        <item x="22"/>
        <item t="default"/>
      </items>
    </pivotField>
    <pivotField showAll="0">
      <items count="14">
        <item x="1"/>
        <item x="2"/>
        <item x="3"/>
        <item x="4"/>
        <item x="5"/>
        <item x="6"/>
        <item x="7"/>
        <item x="8"/>
        <item x="9"/>
        <item x="10"/>
        <item x="11"/>
        <item x="12"/>
        <item h="1"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1"/>
        <item x="2"/>
        <item m="1"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0"/>
        <item x="123"/>
        <item t="default"/>
      </items>
    </pivotField>
  </pivotFields>
  <rowFields count="1">
    <field x="43"/>
  </rowFields>
  <rowItems count="4">
    <i>
      <x/>
    </i>
    <i>
      <x v="1"/>
    </i>
    <i>
      <x v="2"/>
    </i>
    <i t="grand">
      <x/>
    </i>
  </rowItems>
  <colItems count="1">
    <i/>
  </colItems>
  <dataFields count="1">
    <dataField name="Count of Risk Index_x000a_Based on (Commercial &amp; Financial Risk)" fld="43" subtotal="count" baseField="0" baseItem="0"/>
  </dataFields>
  <formats count="18">
    <format dxfId="304">
      <pivotArea type="all" dataOnly="0" outline="0" fieldPosition="0"/>
    </format>
    <format dxfId="303">
      <pivotArea outline="0" collapsedLevelsAreSubtotals="1" fieldPosition="0"/>
    </format>
    <format dxfId="302">
      <pivotArea field="43" type="button" dataOnly="0" labelOnly="1" outline="0" axis="axisRow" fieldPosition="0"/>
    </format>
    <format dxfId="301">
      <pivotArea dataOnly="0" labelOnly="1" fieldPosition="0">
        <references count="1">
          <reference field="43" count="0"/>
        </references>
      </pivotArea>
    </format>
    <format dxfId="300">
      <pivotArea dataOnly="0" labelOnly="1" grandRow="1" outline="0" fieldPosition="0"/>
    </format>
    <format dxfId="299">
      <pivotArea dataOnly="0" labelOnly="1" outline="0" axis="axisValues" fieldPosition="0"/>
    </format>
    <format dxfId="298">
      <pivotArea type="all" dataOnly="0" outline="0" fieldPosition="0"/>
    </format>
    <format dxfId="297">
      <pivotArea outline="0" collapsedLevelsAreSubtotals="1" fieldPosition="0"/>
    </format>
    <format dxfId="296">
      <pivotArea field="43" type="button" dataOnly="0" labelOnly="1" outline="0" axis="axisRow" fieldPosition="0"/>
    </format>
    <format dxfId="295">
      <pivotArea dataOnly="0" labelOnly="1" fieldPosition="0">
        <references count="1">
          <reference field="43" count="0"/>
        </references>
      </pivotArea>
    </format>
    <format dxfId="294">
      <pivotArea dataOnly="0" labelOnly="1" grandRow="1" outline="0" fieldPosition="0"/>
    </format>
    <format dxfId="293">
      <pivotArea dataOnly="0" labelOnly="1" outline="0" axis="axisValues" fieldPosition="0"/>
    </format>
    <format dxfId="47">
      <pivotArea type="all" dataOnly="0" outline="0" fieldPosition="0"/>
    </format>
    <format dxfId="46">
      <pivotArea outline="0" collapsedLevelsAreSubtotals="1" fieldPosition="0"/>
    </format>
    <format dxfId="45">
      <pivotArea field="43" type="button" dataOnly="0" labelOnly="1" outline="0" axis="axisRow" fieldPosition="0"/>
    </format>
    <format dxfId="44">
      <pivotArea dataOnly="0" labelOnly="1" fieldPosition="0">
        <references count="1">
          <reference field="43" count="0"/>
        </references>
      </pivotArea>
    </format>
    <format dxfId="43">
      <pivotArea dataOnly="0" labelOnly="1" grandRow="1" outline="0"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1E618A-BED2-493C-A8C9-B50D58AB1A35}" name="Client Category Slicer"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32:J36" firstHeaderRow="1" firstDataRow="1" firstDataCol="1"/>
  <pivotFields count="53">
    <pivotField showAll="0"/>
    <pivotField showAll="0">
      <items count="24">
        <item x="9"/>
        <item x="22"/>
        <item x="12"/>
        <item x="16"/>
        <item x="18"/>
        <item x="6"/>
        <item x="13"/>
        <item x="19"/>
        <item x="5"/>
        <item x="7"/>
        <item x="11"/>
        <item x="17"/>
        <item x="2"/>
        <item x="21"/>
        <item x="3"/>
        <item x="4"/>
        <item x="15"/>
        <item x="20"/>
        <item x="1"/>
        <item x="8"/>
        <item x="10"/>
        <item x="14"/>
        <item x="0"/>
        <item t="default"/>
      </items>
    </pivotField>
    <pivotField showAll="0">
      <items count="5">
        <item x="1"/>
        <item x="2"/>
        <item x="3"/>
        <item h="1" x="0"/>
        <item t="default"/>
      </items>
    </pivotField>
    <pivotField showAll="0"/>
    <pivotField showAll="0">
      <items count="5">
        <item x="2"/>
        <item x="1"/>
        <item x="3"/>
        <item x="0"/>
        <item t="default"/>
      </items>
    </pivotField>
    <pivotField showAll="0"/>
    <pivotField showAll="0">
      <items count="5">
        <item x="2"/>
        <item x="1"/>
        <item x="3"/>
        <item x="0"/>
        <item t="default"/>
      </items>
    </pivotField>
    <pivotField showAll="0"/>
    <pivotField showAll="0">
      <items count="81">
        <item x="0"/>
        <item m="1" x="72"/>
        <item m="1" x="73"/>
        <item m="1" x="74"/>
        <item m="1" x="75"/>
        <item m="1" x="76"/>
        <item m="1" x="77"/>
        <item m="1" x="78"/>
        <item m="1" x="79"/>
        <item m="1" x="71"/>
        <item m="1" x="51"/>
        <item m="1" x="52"/>
        <item m="1" x="53"/>
        <item m="1" x="54"/>
        <item m="1" x="55"/>
        <item m="1" x="56"/>
        <item m="1" x="57"/>
        <item m="1" x="58"/>
        <item m="1" x="59"/>
        <item m="1" x="60"/>
        <item m="1" x="61"/>
        <item m="1" x="62"/>
        <item m="1" x="63"/>
        <item m="1" x="64"/>
        <item m="1" x="65"/>
        <item m="1" x="66"/>
        <item m="1" x="67"/>
        <item m="1" x="68"/>
        <item m="1" x="69"/>
        <item m="1" x="70"/>
        <item m="1" x="49"/>
        <item m="1" x="50"/>
        <item m="1" x="34"/>
        <item m="1" x="35"/>
        <item m="1" x="36"/>
        <item m="1" x="37"/>
        <item m="1" x="38"/>
        <item m="1" x="39"/>
        <item m="1" x="40"/>
        <item m="1" x="41"/>
        <item m="1" x="42"/>
        <item m="1" x="43"/>
        <item m="1" x="44"/>
        <item m="1" x="45"/>
        <item m="1" x="46"/>
        <item m="1" x="47"/>
        <item m="1" x="48"/>
        <item m="1" x="27"/>
        <item m="1" x="28"/>
        <item m="1" x="29"/>
        <item m="1" x="30"/>
        <item m="1" x="31"/>
        <item m="1" x="32"/>
        <item m="1" x="33"/>
        <item x="1"/>
        <item x="2"/>
        <item x="3"/>
        <item x="4"/>
        <item x="5"/>
        <item x="6"/>
        <item x="7"/>
        <item x="8"/>
        <item x="9"/>
        <item x="10"/>
        <item m="1" x="23"/>
        <item x="12"/>
        <item m="1" x="24"/>
        <item m="1" x="25"/>
        <item m="1" x="26"/>
        <item x="11"/>
        <item x="13"/>
        <item x="14"/>
        <item x="15"/>
        <item x="16"/>
        <item x="17"/>
        <item x="18"/>
        <item x="19"/>
        <item x="20"/>
        <item x="21"/>
        <item x="22"/>
        <item t="default"/>
      </items>
    </pivotField>
    <pivotField showAll="0">
      <items count="14">
        <item x="1"/>
        <item x="2"/>
        <item x="3"/>
        <item x="4"/>
        <item x="5"/>
        <item x="6"/>
        <item x="7"/>
        <item x="8"/>
        <item x="9"/>
        <item x="10"/>
        <item x="11"/>
        <item x="12"/>
        <item h="1" x="0"/>
        <item t="default"/>
      </items>
    </pivotField>
    <pivotField showAll="0"/>
    <pivotField showAll="0"/>
    <pivotField axis="axisRow" dataField="1"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m="1"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0"/>
        <item x="123"/>
        <item t="default"/>
      </items>
    </pivotField>
  </pivotFields>
  <rowFields count="1">
    <field x="12"/>
  </rowFields>
  <rowItems count="4">
    <i>
      <x/>
    </i>
    <i>
      <x v="1"/>
    </i>
    <i>
      <x v="2"/>
    </i>
    <i t="grand">
      <x/>
    </i>
  </rowItems>
  <colItems count="1">
    <i/>
  </colItems>
  <dataFields count="1">
    <dataField name="Count of Client Category_x000a_(Sector)" fld="12" subtotal="count" baseField="0" baseItem="0"/>
  </dataFields>
  <formats count="16">
    <format dxfId="314">
      <pivotArea type="all" dataOnly="0" outline="0" fieldPosition="0"/>
    </format>
    <format dxfId="313">
      <pivotArea outline="0" collapsedLevelsAreSubtotals="1" fieldPosition="0"/>
    </format>
    <format dxfId="312">
      <pivotArea dataOnly="0" labelOnly="1" grandRow="1" outline="0" fieldPosition="0"/>
    </format>
    <format dxfId="311">
      <pivotArea dataOnly="0" labelOnly="1" outline="0" axis="axisValues" fieldPosition="0"/>
    </format>
    <format dxfId="310">
      <pivotArea type="all" dataOnly="0" outline="0" fieldPosition="0"/>
    </format>
    <format dxfId="309">
      <pivotArea outline="0" collapsedLevelsAreSubtotals="1" fieldPosition="0"/>
    </format>
    <format dxfId="308">
      <pivotArea field="12" type="button" dataOnly="0" labelOnly="1" outline="0" axis="axisRow" fieldPosition="0"/>
    </format>
    <format dxfId="307">
      <pivotArea dataOnly="0" labelOnly="1" fieldPosition="0">
        <references count="1">
          <reference field="12" count="3">
            <x v="0"/>
            <x v="1"/>
            <x v="2"/>
          </reference>
        </references>
      </pivotArea>
    </format>
    <format dxfId="306">
      <pivotArea dataOnly="0" labelOnly="1" grandRow="1" outline="0" fieldPosition="0"/>
    </format>
    <format dxfId="305">
      <pivotArea dataOnly="0" labelOnly="1" outline="0" axis="axisValues" fieldPosition="0"/>
    </format>
    <format dxfId="41">
      <pivotArea type="all" dataOnly="0" outline="0" fieldPosition="0"/>
    </format>
    <format dxfId="40">
      <pivotArea outline="0" collapsedLevelsAreSubtotals="1" fieldPosition="0"/>
    </format>
    <format dxfId="39">
      <pivotArea field="12" type="button" dataOnly="0" labelOnly="1" outline="0" axis="axisRow" fieldPosition="0"/>
    </format>
    <format dxfId="38">
      <pivotArea dataOnly="0" labelOnly="1" fieldPosition="0">
        <references count="1">
          <reference field="12" count="3">
            <x v="0"/>
            <x v="1"/>
            <x v="2"/>
          </reference>
        </references>
      </pivotArea>
    </format>
    <format dxfId="37">
      <pivotArea dataOnly="0" labelOnly="1" grandRow="1" outline="0"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BC51C7-38B5-41E9-80FF-7A4E7B80CD9F}" name="Win Probability by Client Typ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0:G14" firstHeaderRow="1" firstDataRow="1" firstDataCol="1"/>
  <pivotFields count="53">
    <pivotField showAll="0"/>
    <pivotField showAll="0">
      <items count="24">
        <item x="9"/>
        <item x="22"/>
        <item x="12"/>
        <item x="16"/>
        <item x="18"/>
        <item x="6"/>
        <item x="13"/>
        <item x="19"/>
        <item x="5"/>
        <item x="7"/>
        <item x="11"/>
        <item x="17"/>
        <item x="2"/>
        <item x="21"/>
        <item x="3"/>
        <item x="4"/>
        <item x="15"/>
        <item x="20"/>
        <item x="1"/>
        <item x="8"/>
        <item x="10"/>
        <item x="14"/>
        <item x="0"/>
        <item t="default"/>
      </items>
    </pivotField>
    <pivotField showAll="0">
      <items count="5">
        <item x="1"/>
        <item x="2"/>
        <item x="3"/>
        <item h="1" x="0"/>
        <item t="default"/>
      </items>
    </pivotField>
    <pivotField showAll="0"/>
    <pivotField showAll="0">
      <items count="5">
        <item x="2"/>
        <item x="1"/>
        <item x="3"/>
        <item x="0"/>
        <item t="default"/>
      </items>
    </pivotField>
    <pivotField showAll="0"/>
    <pivotField showAll="0">
      <items count="5">
        <item x="2"/>
        <item x="1"/>
        <item x="3"/>
        <item x="0"/>
        <item t="default"/>
      </items>
    </pivotField>
    <pivotField showAll="0"/>
    <pivotField showAll="0">
      <items count="81">
        <item x="0"/>
        <item m="1" x="72"/>
        <item m="1" x="73"/>
        <item m="1" x="74"/>
        <item m="1" x="75"/>
        <item m="1" x="76"/>
        <item m="1" x="77"/>
        <item m="1" x="78"/>
        <item m="1" x="79"/>
        <item m="1" x="71"/>
        <item m="1" x="51"/>
        <item m="1" x="52"/>
        <item m="1" x="53"/>
        <item m="1" x="54"/>
        <item m="1" x="55"/>
        <item m="1" x="56"/>
        <item m="1" x="57"/>
        <item m="1" x="58"/>
        <item m="1" x="59"/>
        <item m="1" x="60"/>
        <item m="1" x="61"/>
        <item m="1" x="62"/>
        <item m="1" x="63"/>
        <item m="1" x="64"/>
        <item m="1" x="65"/>
        <item m="1" x="66"/>
        <item m="1" x="67"/>
        <item m="1" x="68"/>
        <item m="1" x="69"/>
        <item m="1" x="70"/>
        <item m="1" x="49"/>
        <item m="1" x="50"/>
        <item m="1" x="34"/>
        <item m="1" x="35"/>
        <item m="1" x="36"/>
        <item m="1" x="37"/>
        <item m="1" x="38"/>
        <item m="1" x="39"/>
        <item m="1" x="40"/>
        <item m="1" x="41"/>
        <item m="1" x="42"/>
        <item m="1" x="43"/>
        <item m="1" x="44"/>
        <item m="1" x="45"/>
        <item m="1" x="46"/>
        <item m="1" x="47"/>
        <item m="1" x="48"/>
        <item m="1" x="27"/>
        <item m="1" x="28"/>
        <item m="1" x="29"/>
        <item m="1" x="30"/>
        <item m="1" x="31"/>
        <item m="1" x="32"/>
        <item m="1" x="33"/>
        <item x="1"/>
        <item x="2"/>
        <item x="3"/>
        <item x="4"/>
        <item x="5"/>
        <item x="6"/>
        <item x="7"/>
        <item x="8"/>
        <item x="9"/>
        <item x="10"/>
        <item m="1" x="23"/>
        <item x="12"/>
        <item m="1" x="24"/>
        <item m="1" x="25"/>
        <item m="1" x="26"/>
        <item x="11"/>
        <item x="13"/>
        <item x="14"/>
        <item x="15"/>
        <item x="16"/>
        <item x="17"/>
        <item x="18"/>
        <item x="19"/>
        <item x="20"/>
        <item x="21"/>
        <item x="22"/>
        <item t="default"/>
      </items>
    </pivotField>
    <pivotField showAll="0">
      <items count="14">
        <item x="1"/>
        <item x="2"/>
        <item x="3"/>
        <item x="4"/>
        <item x="5"/>
        <item x="6"/>
        <item x="7"/>
        <item x="8"/>
        <item x="9"/>
        <item x="10"/>
        <item x="11"/>
        <item x="12"/>
        <item h="1" x="0"/>
        <item t="default"/>
      </items>
    </pivotField>
    <pivotField showAll="0"/>
    <pivotField showAll="0"/>
    <pivotField axis="axisRow"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m="1" x="3"/>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0"/>
        <item x="123"/>
        <item t="default"/>
      </items>
    </pivotField>
  </pivotFields>
  <rowFields count="1">
    <field x="12"/>
  </rowFields>
  <rowItems count="4">
    <i>
      <x/>
    </i>
    <i>
      <x v="1"/>
    </i>
    <i>
      <x v="2"/>
    </i>
    <i t="grand">
      <x/>
    </i>
  </rowItems>
  <colItems count="1">
    <i/>
  </colItems>
  <dataFields count="1">
    <dataField name="Average of Expect_x000a_Win %" fld="45" subtotal="average" baseField="0" baseItem="0" numFmtId="9"/>
  </dataFields>
  <formats count="17">
    <format dxfId="325">
      <pivotArea outline="0" collapsedLevelsAreSubtotals="1" fieldPosition="0"/>
    </format>
    <format dxfId="324">
      <pivotArea type="all" dataOnly="0" outline="0" fieldPosition="0"/>
    </format>
    <format dxfId="323">
      <pivotArea outline="0" collapsedLevelsAreSubtotals="1" fieldPosition="0"/>
    </format>
    <format dxfId="322">
      <pivotArea dataOnly="0" labelOnly="1" grandRow="1" outline="0" fieldPosition="0"/>
    </format>
    <format dxfId="321">
      <pivotArea dataOnly="0" labelOnly="1" outline="0" axis="axisValues" fieldPosition="0"/>
    </format>
    <format dxfId="320">
      <pivotArea type="all" dataOnly="0" outline="0" fieldPosition="0"/>
    </format>
    <format dxfId="319">
      <pivotArea outline="0" collapsedLevelsAreSubtotals="1" fieldPosition="0"/>
    </format>
    <format dxfId="318">
      <pivotArea field="12" type="button" dataOnly="0" labelOnly="1" outline="0" axis="axisRow" fieldPosition="0"/>
    </format>
    <format dxfId="317">
      <pivotArea dataOnly="0" labelOnly="1" fieldPosition="0">
        <references count="1">
          <reference field="12" count="3">
            <x v="0"/>
            <x v="1"/>
            <x v="2"/>
          </reference>
        </references>
      </pivotArea>
    </format>
    <format dxfId="316">
      <pivotArea dataOnly="0" labelOnly="1" grandRow="1" outline="0" fieldPosition="0"/>
    </format>
    <format dxfId="315">
      <pivotArea dataOnly="0" labelOnly="1" outline="0" axis="axisValues" fieldPosition="0"/>
    </format>
    <format dxfId="35">
      <pivotArea type="all" dataOnly="0" outline="0" fieldPosition="0"/>
    </format>
    <format dxfId="34">
      <pivotArea outline="0" collapsedLevelsAreSubtotals="1" fieldPosition="0"/>
    </format>
    <format dxfId="33">
      <pivotArea field="12" type="button" dataOnly="0" labelOnly="1" outline="0" axis="axisRow" fieldPosition="0"/>
    </format>
    <format dxfId="32">
      <pivotArea dataOnly="0" labelOnly="1" fieldPosition="0">
        <references count="1">
          <reference field="12" count="3">
            <x v="0"/>
            <x v="1"/>
            <x v="2"/>
          </reference>
        </references>
      </pivotArea>
    </format>
    <format dxfId="31">
      <pivotArea dataOnly="0" labelOnly="1" grandRow="1" outline="0" fieldPosition="0"/>
    </format>
    <format dxfId="30">
      <pivotArea dataOnly="0" labelOnly="1" outline="0" axis="axisValues" fieldPosition="0"/>
    </format>
  </formats>
  <chartFormats count="5">
    <chartFormat chart="2" format="2" series="1">
      <pivotArea type="data" outline="0" fieldPosition="0">
        <references count="1">
          <reference field="4294967294" count="1" selected="0">
            <x v="0"/>
          </reference>
        </references>
      </pivotArea>
    </chartFormat>
    <chartFormat chart="2" format="6">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2"/>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B0986BD-A161-43CC-8FD7-02A40E0997F1}" name="Count of Projects 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I21" firstHeaderRow="1" firstDataRow="1" firstDataCol="1"/>
  <pivotFields count="53">
    <pivotField showAll="0"/>
    <pivotField showAll="0">
      <items count="24">
        <item x="9"/>
        <item x="22"/>
        <item x="12"/>
        <item x="16"/>
        <item x="18"/>
        <item x="6"/>
        <item x="13"/>
        <item x="19"/>
        <item x="5"/>
        <item x="7"/>
        <item x="11"/>
        <item x="17"/>
        <item x="2"/>
        <item x="21"/>
        <item x="3"/>
        <item x="4"/>
        <item x="15"/>
        <item x="20"/>
        <item x="1"/>
        <item x="8"/>
        <item x="10"/>
        <item x="14"/>
        <item x="0"/>
        <item t="default"/>
      </items>
    </pivotField>
    <pivotField axis="axisRow" dataField="1" showAll="0">
      <items count="5">
        <item x="1"/>
        <item x="2"/>
        <item x="3"/>
        <item h="1" x="0"/>
        <item t="default"/>
      </items>
    </pivotField>
    <pivotField showAll="0"/>
    <pivotField showAll="0">
      <items count="5">
        <item x="2"/>
        <item x="1"/>
        <item x="3"/>
        <item x="0"/>
        <item t="default"/>
      </items>
    </pivotField>
    <pivotField showAll="0"/>
    <pivotField showAll="0">
      <items count="5">
        <item x="2"/>
        <item x="1"/>
        <item x="3"/>
        <item x="0"/>
        <item t="default"/>
      </items>
    </pivotField>
    <pivotField showAll="0"/>
    <pivotField showAll="0">
      <items count="81">
        <item x="0"/>
        <item m="1" x="72"/>
        <item m="1" x="73"/>
        <item m="1" x="74"/>
        <item m="1" x="75"/>
        <item m="1" x="76"/>
        <item m="1" x="77"/>
        <item m="1" x="78"/>
        <item m="1" x="79"/>
        <item m="1" x="71"/>
        <item m="1" x="51"/>
        <item m="1" x="52"/>
        <item m="1" x="53"/>
        <item m="1" x="54"/>
        <item m="1" x="55"/>
        <item m="1" x="56"/>
        <item m="1" x="57"/>
        <item m="1" x="58"/>
        <item m="1" x="59"/>
        <item m="1" x="60"/>
        <item m="1" x="61"/>
        <item m="1" x="62"/>
        <item m="1" x="63"/>
        <item m="1" x="64"/>
        <item m="1" x="65"/>
        <item m="1" x="66"/>
        <item m="1" x="67"/>
        <item m="1" x="68"/>
        <item m="1" x="69"/>
        <item m="1" x="70"/>
        <item m="1" x="49"/>
        <item m="1" x="50"/>
        <item m="1" x="34"/>
        <item m="1" x="35"/>
        <item m="1" x="36"/>
        <item m="1" x="37"/>
        <item m="1" x="38"/>
        <item m="1" x="39"/>
        <item m="1" x="40"/>
        <item m="1" x="41"/>
        <item m="1" x="42"/>
        <item m="1" x="43"/>
        <item m="1" x="44"/>
        <item m="1" x="45"/>
        <item m="1" x="46"/>
        <item m="1" x="47"/>
        <item m="1" x="48"/>
        <item m="1" x="27"/>
        <item m="1" x="28"/>
        <item m="1" x="29"/>
        <item m="1" x="30"/>
        <item m="1" x="31"/>
        <item m="1" x="32"/>
        <item m="1" x="33"/>
        <item x="1"/>
        <item x="2"/>
        <item x="3"/>
        <item x="4"/>
        <item x="5"/>
        <item x="6"/>
        <item x="7"/>
        <item x="8"/>
        <item x="9"/>
        <item x="10"/>
        <item m="1" x="23"/>
        <item x="12"/>
        <item m="1" x="24"/>
        <item m="1" x="25"/>
        <item m="1" x="26"/>
        <item x="11"/>
        <item x="13"/>
        <item x="14"/>
        <item x="15"/>
        <item x="16"/>
        <item x="17"/>
        <item x="18"/>
        <item x="19"/>
        <item x="20"/>
        <item x="21"/>
        <item x="22"/>
        <item t="default"/>
      </items>
    </pivotField>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m="1"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0"/>
        <item x="123"/>
        <item t="default"/>
      </items>
    </pivotField>
  </pivotFields>
  <rowFields count="1">
    <field x="2"/>
  </rowFields>
  <rowItems count="4">
    <i>
      <x/>
    </i>
    <i>
      <x v="1"/>
    </i>
    <i>
      <x v="2"/>
    </i>
    <i t="grand">
      <x/>
    </i>
  </rowItems>
  <colItems count="1">
    <i/>
  </colItems>
  <dataFields count="1">
    <dataField name="Count of Project Type" fld="2" subtotal="count" baseField="0" baseItem="0"/>
  </dataFields>
  <formats count="18">
    <format dxfId="337">
      <pivotArea type="all" dataOnly="0" outline="0" fieldPosition="0"/>
    </format>
    <format dxfId="336">
      <pivotArea outline="0" collapsedLevelsAreSubtotals="1" fieldPosition="0"/>
    </format>
    <format dxfId="335">
      <pivotArea field="2" type="button" dataOnly="0" labelOnly="1" outline="0" axis="axisRow" fieldPosition="0"/>
    </format>
    <format dxfId="334">
      <pivotArea dataOnly="0" labelOnly="1" fieldPosition="0">
        <references count="1">
          <reference field="2" count="3">
            <x v="0"/>
            <x v="1"/>
            <x v="2"/>
          </reference>
        </references>
      </pivotArea>
    </format>
    <format dxfId="333">
      <pivotArea dataOnly="0" labelOnly="1" grandRow="1" outline="0" fieldPosition="0"/>
    </format>
    <format dxfId="332">
      <pivotArea dataOnly="0" labelOnly="1" outline="0" axis="axisValues" fieldPosition="0"/>
    </format>
    <format dxfId="331">
      <pivotArea type="all" dataOnly="0" outline="0" fieldPosition="0"/>
    </format>
    <format dxfId="330">
      <pivotArea outline="0" collapsedLevelsAreSubtotals="1" fieldPosition="0"/>
    </format>
    <format dxfId="329">
      <pivotArea field="2" type="button" dataOnly="0" labelOnly="1" outline="0" axis="axisRow" fieldPosition="0"/>
    </format>
    <format dxfId="328">
      <pivotArea dataOnly="0" labelOnly="1" fieldPosition="0">
        <references count="1">
          <reference field="2" count="0"/>
        </references>
      </pivotArea>
    </format>
    <format dxfId="327">
      <pivotArea dataOnly="0" labelOnly="1" grandRow="1" outline="0" fieldPosition="0"/>
    </format>
    <format dxfId="326">
      <pivotArea dataOnly="0" labelOnly="1" outline="0" axis="axisValues" fieldPosition="0"/>
    </format>
    <format dxfId="29">
      <pivotArea type="all" dataOnly="0" outline="0" fieldPosition="0"/>
    </format>
    <format dxfId="28">
      <pivotArea outline="0" collapsedLevelsAreSubtotals="1" fieldPosition="0"/>
    </format>
    <format dxfId="27">
      <pivotArea field="2" type="button" dataOnly="0" labelOnly="1" outline="0" axis="axisRow" fieldPosition="0"/>
    </format>
    <format dxfId="26">
      <pivotArea dataOnly="0" labelOnly="1" fieldPosition="0">
        <references count="1">
          <reference field="2" count="0"/>
        </references>
      </pivotArea>
    </format>
    <format dxfId="25">
      <pivotArea dataOnly="0" labelOnly="1" grandRow="1" outline="0"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434D159-DF19-418C-892C-51A1B019FCAF}" name="Tender Type Slic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2:M36" firstHeaderRow="1" firstDataRow="1" firstDataCol="1"/>
  <pivotFields count="53">
    <pivotField showAll="0"/>
    <pivotField showAll="0">
      <items count="24">
        <item x="9"/>
        <item x="22"/>
        <item x="12"/>
        <item x="16"/>
        <item x="18"/>
        <item x="6"/>
        <item x="13"/>
        <item x="19"/>
        <item x="5"/>
        <item x="7"/>
        <item x="11"/>
        <item x="17"/>
        <item x="2"/>
        <item x="21"/>
        <item x="3"/>
        <item x="4"/>
        <item x="15"/>
        <item x="20"/>
        <item x="1"/>
        <item x="8"/>
        <item x="10"/>
        <item x="14"/>
        <item x="0"/>
        <item t="default"/>
      </items>
    </pivotField>
    <pivotField showAll="0">
      <items count="5">
        <item x="1"/>
        <item x="2"/>
        <item x="3"/>
        <item h="1" x="0"/>
        <item t="default"/>
      </items>
    </pivotField>
    <pivotField showAll="0"/>
    <pivotField showAll="0">
      <items count="5">
        <item x="2"/>
        <item x="1"/>
        <item x="3"/>
        <item x="0"/>
        <item t="default"/>
      </items>
    </pivotField>
    <pivotField showAll="0"/>
    <pivotField axis="axisRow" dataField="1" showAll="0">
      <items count="5">
        <item x="2"/>
        <item x="1"/>
        <item x="3"/>
        <item x="0"/>
        <item t="default"/>
      </items>
    </pivotField>
    <pivotField showAll="0"/>
    <pivotField showAll="0">
      <items count="81">
        <item x="0"/>
        <item m="1" x="72"/>
        <item m="1" x="73"/>
        <item m="1" x="74"/>
        <item m="1" x="75"/>
        <item m="1" x="76"/>
        <item m="1" x="77"/>
        <item m="1" x="78"/>
        <item m="1" x="79"/>
        <item m="1" x="71"/>
        <item m="1" x="51"/>
        <item m="1" x="52"/>
        <item m="1" x="53"/>
        <item m="1" x="54"/>
        <item m="1" x="55"/>
        <item m="1" x="56"/>
        <item m="1" x="57"/>
        <item m="1" x="58"/>
        <item m="1" x="59"/>
        <item m="1" x="60"/>
        <item m="1" x="61"/>
        <item m="1" x="62"/>
        <item m="1" x="63"/>
        <item m="1" x="64"/>
        <item m="1" x="65"/>
        <item m="1" x="66"/>
        <item m="1" x="67"/>
        <item m="1" x="68"/>
        <item m="1" x="69"/>
        <item m="1" x="70"/>
        <item m="1" x="49"/>
        <item m="1" x="50"/>
        <item m="1" x="34"/>
        <item m="1" x="35"/>
        <item m="1" x="36"/>
        <item m="1" x="37"/>
        <item m="1" x="38"/>
        <item m="1" x="39"/>
        <item m="1" x="40"/>
        <item m="1" x="41"/>
        <item m="1" x="42"/>
        <item m="1" x="43"/>
        <item m="1" x="44"/>
        <item m="1" x="45"/>
        <item m="1" x="46"/>
        <item m="1" x="47"/>
        <item m="1" x="48"/>
        <item m="1" x="27"/>
        <item m="1" x="28"/>
        <item m="1" x="29"/>
        <item m="1" x="30"/>
        <item m="1" x="31"/>
        <item m="1" x="32"/>
        <item m="1" x="33"/>
        <item x="1"/>
        <item x="2"/>
        <item x="3"/>
        <item x="4"/>
        <item x="5"/>
        <item x="6"/>
        <item x="7"/>
        <item x="8"/>
        <item x="9"/>
        <item x="10"/>
        <item m="1" x="23"/>
        <item x="12"/>
        <item m="1" x="24"/>
        <item m="1" x="25"/>
        <item m="1" x="26"/>
        <item x="11"/>
        <item x="13"/>
        <item x="14"/>
        <item x="15"/>
        <item x="16"/>
        <item x="17"/>
        <item x="18"/>
        <item x="19"/>
        <item x="20"/>
        <item x="21"/>
        <item x="22"/>
        <item t="default"/>
      </items>
    </pivotField>
    <pivotField showAll="0">
      <items count="14">
        <item x="1"/>
        <item x="2"/>
        <item x="3"/>
        <item x="4"/>
        <item x="5"/>
        <item x="6"/>
        <item x="7"/>
        <item x="8"/>
        <item x="9"/>
        <item x="10"/>
        <item x="11"/>
        <item x="12"/>
        <item h="1"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m="1"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0"/>
        <item x="123"/>
        <item t="default"/>
      </items>
    </pivotField>
  </pivotFields>
  <rowFields count="1">
    <field x="6"/>
  </rowFields>
  <rowItems count="4">
    <i>
      <x/>
    </i>
    <i>
      <x v="1"/>
    </i>
    <i>
      <x v="2"/>
    </i>
    <i t="grand">
      <x/>
    </i>
  </rowItems>
  <colItems count="1">
    <i/>
  </colItems>
  <dataFields count="1">
    <dataField name="Count of Tender Type" fld="6" subtotal="count" baseField="0" baseItem="0"/>
  </dataFields>
  <formats count="18">
    <format dxfId="349">
      <pivotArea type="all" dataOnly="0" outline="0" fieldPosition="0"/>
    </format>
    <format dxfId="348">
      <pivotArea outline="0" collapsedLevelsAreSubtotals="1" fieldPosition="0"/>
    </format>
    <format dxfId="347">
      <pivotArea field="6" type="button" dataOnly="0" labelOnly="1" outline="0" axis="axisRow" fieldPosition="0"/>
    </format>
    <format dxfId="346">
      <pivotArea dataOnly="0" labelOnly="1" fieldPosition="0">
        <references count="1">
          <reference field="6" count="3">
            <x v="0"/>
            <x v="1"/>
            <x v="2"/>
          </reference>
        </references>
      </pivotArea>
    </format>
    <format dxfId="345">
      <pivotArea dataOnly="0" labelOnly="1" grandRow="1" outline="0" fieldPosition="0"/>
    </format>
    <format dxfId="344">
      <pivotArea dataOnly="0" labelOnly="1" outline="0" axis="axisValues" fieldPosition="0"/>
    </format>
    <format dxfId="343">
      <pivotArea type="all" dataOnly="0" outline="0" fieldPosition="0"/>
    </format>
    <format dxfId="342">
      <pivotArea outline="0" collapsedLevelsAreSubtotals="1" fieldPosition="0"/>
    </format>
    <format dxfId="341">
      <pivotArea field="6" type="button" dataOnly="0" labelOnly="1" outline="0" axis="axisRow" fieldPosition="0"/>
    </format>
    <format dxfId="340">
      <pivotArea dataOnly="0" labelOnly="1" fieldPosition="0">
        <references count="1">
          <reference field="6" count="3">
            <x v="0"/>
            <x v="1"/>
            <x v="2"/>
          </reference>
        </references>
      </pivotArea>
    </format>
    <format dxfId="339">
      <pivotArea dataOnly="0" labelOnly="1" grandRow="1" outline="0" fieldPosition="0"/>
    </format>
    <format dxfId="338">
      <pivotArea dataOnly="0" labelOnly="1" outline="0" axis="axisValues" fieldPosition="0"/>
    </format>
    <format dxfId="23">
      <pivotArea type="all" dataOnly="0" outline="0" fieldPosition="0"/>
    </format>
    <format dxfId="22">
      <pivotArea outline="0" collapsedLevelsAreSubtotals="1" fieldPosition="0"/>
    </format>
    <format dxfId="21">
      <pivotArea field="6" type="button" dataOnly="0" labelOnly="1" outline="0" axis="axisRow" fieldPosition="0"/>
    </format>
    <format dxfId="20">
      <pivotArea dataOnly="0" labelOnly="1" fieldPosition="0">
        <references count="1">
          <reference field="6" count="3">
            <x v="0"/>
            <x v="1"/>
            <x v="2"/>
          </reference>
        </references>
      </pivotArea>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C26F585-9BC2-4236-8A20-1E780121860C}" name="Decision Breakdown"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B10:C14" firstHeaderRow="1" firstDataRow="1" firstDataCol="1"/>
  <pivotFields count="53">
    <pivotField showAll="0"/>
    <pivotField showAll="0">
      <items count="24">
        <item x="9"/>
        <item x="22"/>
        <item x="12"/>
        <item x="16"/>
        <item x="18"/>
        <item x="6"/>
        <item x="13"/>
        <item x="19"/>
        <item x="5"/>
        <item x="7"/>
        <item x="11"/>
        <item x="17"/>
        <item x="2"/>
        <item x="21"/>
        <item x="3"/>
        <item x="4"/>
        <item x="15"/>
        <item x="20"/>
        <item x="1"/>
        <item x="8"/>
        <item x="10"/>
        <item x="14"/>
        <item x="0"/>
        <item t="default"/>
      </items>
    </pivotField>
    <pivotField showAll="0">
      <items count="5">
        <item x="1"/>
        <item x="2"/>
        <item x="3"/>
        <item h="1" x="0"/>
        <item t="default"/>
      </items>
    </pivotField>
    <pivotField showAll="0"/>
    <pivotField showAll="0">
      <items count="5">
        <item x="2"/>
        <item x="1"/>
        <item x="3"/>
        <item x="0"/>
        <item t="default"/>
      </items>
    </pivotField>
    <pivotField showAll="0"/>
    <pivotField showAll="0">
      <items count="5">
        <item x="2"/>
        <item x="1"/>
        <item x="3"/>
        <item x="0"/>
        <item t="default"/>
      </items>
    </pivotField>
    <pivotField showAll="0"/>
    <pivotField showAll="0">
      <items count="81">
        <item x="0"/>
        <item m="1" x="72"/>
        <item m="1" x="73"/>
        <item m="1" x="74"/>
        <item m="1" x="75"/>
        <item m="1" x="76"/>
        <item m="1" x="77"/>
        <item m="1" x="78"/>
        <item m="1" x="79"/>
        <item m="1" x="71"/>
        <item m="1" x="51"/>
        <item m="1" x="52"/>
        <item m="1" x="53"/>
        <item m="1" x="54"/>
        <item m="1" x="55"/>
        <item m="1" x="56"/>
        <item m="1" x="57"/>
        <item m="1" x="58"/>
        <item m="1" x="59"/>
        <item m="1" x="60"/>
        <item m="1" x="61"/>
        <item m="1" x="62"/>
        <item m="1" x="63"/>
        <item m="1" x="64"/>
        <item m="1" x="65"/>
        <item m="1" x="66"/>
        <item m="1" x="67"/>
        <item m="1" x="68"/>
        <item m="1" x="69"/>
        <item m="1" x="70"/>
        <item m="1" x="49"/>
        <item m="1" x="50"/>
        <item m="1" x="34"/>
        <item m="1" x="35"/>
        <item m="1" x="36"/>
        <item m="1" x="37"/>
        <item m="1" x="38"/>
        <item m="1" x="39"/>
        <item m="1" x="40"/>
        <item m="1" x="41"/>
        <item m="1" x="42"/>
        <item m="1" x="43"/>
        <item m="1" x="44"/>
        <item m="1" x="45"/>
        <item m="1" x="46"/>
        <item m="1" x="47"/>
        <item m="1" x="48"/>
        <item m="1" x="27"/>
        <item m="1" x="28"/>
        <item m="1" x="29"/>
        <item m="1" x="30"/>
        <item m="1" x="31"/>
        <item m="1" x="32"/>
        <item m="1" x="33"/>
        <item x="1"/>
        <item x="2"/>
        <item x="3"/>
        <item x="4"/>
        <item x="5"/>
        <item x="6"/>
        <item x="7"/>
        <item x="8"/>
        <item x="9"/>
        <item x="10"/>
        <item m="1" x="23"/>
        <item x="12"/>
        <item m="1" x="24"/>
        <item m="1" x="25"/>
        <item m="1" x="26"/>
        <item x="11"/>
        <item x="13"/>
        <item x="14"/>
        <item x="15"/>
        <item x="16"/>
        <item x="17"/>
        <item x="18"/>
        <item x="19"/>
        <item x="20"/>
        <item x="21"/>
        <item x="22"/>
        <item t="default"/>
      </items>
    </pivotField>
    <pivotField showAll="0">
      <items count="14">
        <item x="1"/>
        <item x="2"/>
        <item x="3"/>
        <item x="4"/>
        <item x="5"/>
        <item x="6"/>
        <item x="7"/>
        <item x="8"/>
        <item x="9"/>
        <item x="10"/>
        <item x="11"/>
        <item x="12"/>
        <item h="1"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m="1" x="3"/>
        <item t="default"/>
      </items>
    </pivotField>
    <pivotField axis="axisRow" dataField="1" showAll="0">
      <items count="5">
        <item x="1"/>
        <item x="0"/>
        <item x="2"/>
        <item h="1" m="1" x="3"/>
        <item t="default"/>
      </items>
    </pivotField>
    <pivotField showAll="0"/>
    <pivotField showAll="0"/>
    <pivotField showAll="0"/>
    <pivotField showAll="0"/>
    <pivotField showAll="0"/>
    <pivotField showAll="0" defaultSubtotal="0"/>
    <pivotField showAll="0" defaultSubtotal="0"/>
    <pivotField showAll="0" defaultSubtotal="0">
      <items count="12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0"/>
        <item x="123"/>
      </items>
    </pivotField>
  </pivotFields>
  <rowFields count="1">
    <field x="44"/>
  </rowFields>
  <rowItems count="4">
    <i>
      <x/>
    </i>
    <i>
      <x v="1"/>
    </i>
    <i>
      <x v="2"/>
    </i>
    <i t="grand">
      <x/>
    </i>
  </rowItems>
  <colItems count="1">
    <i/>
  </colItems>
  <dataFields count="1">
    <dataField name="Count of Decision_x000a_Logic" fld="44" subtotal="count" showDataAs="percentOfTotal" baseField="0" baseItem="0" numFmtId="10"/>
  </dataFields>
  <formats count="18">
    <format dxfId="361">
      <pivotArea type="all" dataOnly="0" outline="0" fieldPosition="0"/>
    </format>
    <format dxfId="360">
      <pivotArea outline="0" collapsedLevelsAreSubtotals="1" fieldPosition="0"/>
    </format>
    <format dxfId="359">
      <pivotArea field="44" type="button" dataOnly="0" labelOnly="1" outline="0" axis="axisRow" fieldPosition="0"/>
    </format>
    <format dxfId="358">
      <pivotArea dataOnly="0" labelOnly="1" fieldPosition="0">
        <references count="1">
          <reference field="44" count="0"/>
        </references>
      </pivotArea>
    </format>
    <format dxfId="357">
      <pivotArea dataOnly="0" labelOnly="1" grandRow="1" outline="0" fieldPosition="0"/>
    </format>
    <format dxfId="356">
      <pivotArea dataOnly="0" labelOnly="1" outline="0" axis="axisValues" fieldPosition="0"/>
    </format>
    <format dxfId="355">
      <pivotArea type="all" dataOnly="0" outline="0" fieldPosition="0"/>
    </format>
    <format dxfId="354">
      <pivotArea outline="0" collapsedLevelsAreSubtotals="1" fieldPosition="0"/>
    </format>
    <format dxfId="353">
      <pivotArea field="44" type="button" dataOnly="0" labelOnly="1" outline="0" axis="axisRow" fieldPosition="0"/>
    </format>
    <format dxfId="352">
      <pivotArea dataOnly="0" labelOnly="1" fieldPosition="0">
        <references count="1">
          <reference field="44" count="0"/>
        </references>
      </pivotArea>
    </format>
    <format dxfId="351">
      <pivotArea dataOnly="0" labelOnly="1" grandRow="1" outline="0" fieldPosition="0"/>
    </format>
    <format dxfId="350">
      <pivotArea dataOnly="0" labelOnly="1" outline="0" axis="axisValues" fieldPosition="0"/>
    </format>
    <format dxfId="17">
      <pivotArea type="all" dataOnly="0" outline="0" fieldPosition="0"/>
    </format>
    <format dxfId="16">
      <pivotArea outline="0" collapsedLevelsAreSubtotals="1" fieldPosition="0"/>
    </format>
    <format dxfId="15">
      <pivotArea field="44" type="button" dataOnly="0" labelOnly="1" outline="0" axis="axisRow" fieldPosition="0"/>
    </format>
    <format dxfId="14">
      <pivotArea dataOnly="0" labelOnly="1" fieldPosition="0">
        <references count="1">
          <reference field="44" count="0"/>
        </references>
      </pivotArea>
    </format>
    <format dxfId="13">
      <pivotArea dataOnly="0" labelOnly="1" grandRow="1" outline="0" fieldPosition="0"/>
    </format>
    <format dxfId="12">
      <pivotArea dataOnly="0" labelOnly="1" outline="0" axis="axisValues"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4" count="1" selected="0">
            <x v="0"/>
          </reference>
        </references>
      </pivotArea>
    </chartFormat>
    <chartFormat chart="3" format="10">
      <pivotArea type="data" outline="0" fieldPosition="0">
        <references count="2">
          <reference field="4294967294" count="1" selected="0">
            <x v="0"/>
          </reference>
          <reference field="44" count="1" selected="0">
            <x v="1"/>
          </reference>
        </references>
      </pivotArea>
    </chartFormat>
    <chartFormat chart="3" format="11">
      <pivotArea type="data" outline="0" fieldPosition="0">
        <references count="2">
          <reference field="4294967294" count="1" selected="0">
            <x v="0"/>
          </reference>
          <reference field="4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24B541B-28C9-4449-A59B-9726E203C12D}" name="CEO Piplin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Z29:AA34" firstHeaderRow="1" firstDataRow="1" firstDataCol="1"/>
  <pivotFields count="13">
    <pivotField showAll="0"/>
    <pivotField showAll="0"/>
    <pivotField showAll="0"/>
    <pivotField showAll="0"/>
    <pivotField numFmtId="9" showAll="0"/>
    <pivotField axis="axisRow" dataField="1" showAll="0">
      <items count="6">
        <item x="3"/>
        <item x="2"/>
        <item x="0"/>
        <item x="1"/>
        <item h="1" x="4"/>
        <item t="default"/>
      </items>
    </pivotField>
    <pivotField showAll="0"/>
    <pivotField showAll="0"/>
    <pivotField showAll="0"/>
    <pivotField numFmtId="164" showAll="0"/>
    <pivotField numFmtId="164" showAll="0"/>
    <pivotField showAll="0"/>
    <pivotField showAll="0"/>
  </pivotFields>
  <rowFields count="1">
    <field x="5"/>
  </rowFields>
  <rowItems count="5">
    <i>
      <x/>
    </i>
    <i>
      <x v="1"/>
    </i>
    <i>
      <x v="2"/>
    </i>
    <i>
      <x v="3"/>
    </i>
    <i t="grand">
      <x/>
    </i>
  </rowItems>
  <colItems count="1">
    <i/>
  </colItems>
  <dataFields count="1">
    <dataField name="Count of Won, Lost, Pending" fld="5" subtotal="count" baseField="0" baseItem="0"/>
  </dataFields>
  <formats count="18">
    <format dxfId="373">
      <pivotArea type="all" dataOnly="0" outline="0" fieldPosition="0"/>
    </format>
    <format dxfId="372">
      <pivotArea outline="0" collapsedLevelsAreSubtotals="1" fieldPosition="0"/>
    </format>
    <format dxfId="371">
      <pivotArea field="5" type="button" dataOnly="0" labelOnly="1" outline="0" axis="axisRow" fieldPosition="0"/>
    </format>
    <format dxfId="370">
      <pivotArea dataOnly="0" labelOnly="1" fieldPosition="0">
        <references count="1">
          <reference field="5" count="0"/>
        </references>
      </pivotArea>
    </format>
    <format dxfId="369">
      <pivotArea dataOnly="0" labelOnly="1" grandRow="1" outline="0" fieldPosition="0"/>
    </format>
    <format dxfId="368">
      <pivotArea dataOnly="0" labelOnly="1" outline="0" axis="axisValues" fieldPosition="0"/>
    </format>
    <format dxfId="367">
      <pivotArea type="all" dataOnly="0" outline="0" fieldPosition="0"/>
    </format>
    <format dxfId="366">
      <pivotArea outline="0" collapsedLevelsAreSubtotals="1" fieldPosition="0"/>
    </format>
    <format dxfId="365">
      <pivotArea field="5" type="button" dataOnly="0" labelOnly="1" outline="0" axis="axisRow" fieldPosition="0"/>
    </format>
    <format dxfId="364">
      <pivotArea dataOnly="0" labelOnly="1" fieldPosition="0">
        <references count="1">
          <reference field="5" count="0"/>
        </references>
      </pivotArea>
    </format>
    <format dxfId="363">
      <pivotArea dataOnly="0" labelOnly="1" grandRow="1" outline="0" fieldPosition="0"/>
    </format>
    <format dxfId="362">
      <pivotArea dataOnly="0" labelOnly="1" outline="0" axis="axisValues" fieldPosition="0"/>
    </format>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fieldPosition="0">
        <references count="1">
          <reference field="5" count="0"/>
        </references>
      </pivotArea>
    </format>
    <format dxfId="7">
      <pivotArea dataOnly="0" labelOnly="1" grandRow="1" outline="0" fieldPosition="0"/>
    </format>
    <format dxfId="6">
      <pivotArea dataOnly="0" labelOnly="1" outline="0" axis="axisValues" fieldPosition="0"/>
    </format>
  </formats>
  <chartFormats count="4">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5" count="1" selected="0">
            <x v="2"/>
          </reference>
        </references>
      </pivotArea>
    </chartFormat>
    <chartFormat chart="11" format="4">
      <pivotArea type="data" outline="0" fieldPosition="0">
        <references count="2">
          <reference field="4294967294" count="1" selected="0">
            <x v="0"/>
          </reference>
          <reference field="5" count="1" selected="0">
            <x v="1"/>
          </reference>
        </references>
      </pivotArea>
    </chartFormat>
    <chartFormat chart="11"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9AB6B19-1017-4AE5-89A8-1AAFCFCA0EC4}" name="CEO Active &amp; Awaiting Project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D10:AE13" firstHeaderRow="1" firstDataRow="1" firstDataCol="1"/>
  <pivotFields count="13">
    <pivotField showAll="0"/>
    <pivotField showAll="0"/>
    <pivotField showAll="0"/>
    <pivotField showAll="0"/>
    <pivotField numFmtId="9" showAll="0"/>
    <pivotField showAll="0"/>
    <pivotField showAll="0"/>
    <pivotField showAll="0"/>
    <pivotField showAll="0"/>
    <pivotField numFmtId="164" showAll="0"/>
    <pivotField numFmtId="164" showAll="0"/>
    <pivotField showAll="0"/>
    <pivotField axis="axisRow" dataField="1" multipleItemSelectionAllowed="1" showAll="0">
      <items count="4">
        <item x="0"/>
        <item x="1"/>
        <item h="1" x="2"/>
        <item t="default"/>
      </items>
    </pivotField>
  </pivotFields>
  <rowFields count="1">
    <field x="12"/>
  </rowFields>
  <rowItems count="3">
    <i>
      <x/>
    </i>
    <i>
      <x v="1"/>
    </i>
    <i t="grand">
      <x/>
    </i>
  </rowItems>
  <colItems count="1">
    <i/>
  </colItems>
  <dataFields count="1">
    <dataField name="Count of Active &amp; Awaiting Projects" fld="12" subtotal="count" baseField="0" baseItem="0"/>
  </dataFields>
  <formats count="18">
    <format dxfId="385">
      <pivotArea type="all" dataOnly="0" outline="0" fieldPosition="0"/>
    </format>
    <format dxfId="384">
      <pivotArea outline="0" collapsedLevelsAreSubtotals="1" fieldPosition="0"/>
    </format>
    <format dxfId="383">
      <pivotArea field="12" type="button" dataOnly="0" labelOnly="1" outline="0" axis="axisRow" fieldPosition="0"/>
    </format>
    <format dxfId="382">
      <pivotArea dataOnly="0" labelOnly="1" fieldPosition="0">
        <references count="1">
          <reference field="12" count="0"/>
        </references>
      </pivotArea>
    </format>
    <format dxfId="381">
      <pivotArea dataOnly="0" labelOnly="1" grandRow="1" outline="0" fieldPosition="0"/>
    </format>
    <format dxfId="380">
      <pivotArea dataOnly="0" labelOnly="1" outline="0" axis="axisValues" fieldPosition="0"/>
    </format>
    <format dxfId="379">
      <pivotArea type="all" dataOnly="0" outline="0" fieldPosition="0"/>
    </format>
    <format dxfId="378">
      <pivotArea outline="0" collapsedLevelsAreSubtotals="1" fieldPosition="0"/>
    </format>
    <format dxfId="377">
      <pivotArea field="12" type="button" dataOnly="0" labelOnly="1" outline="0" axis="axisRow" fieldPosition="0"/>
    </format>
    <format dxfId="376">
      <pivotArea dataOnly="0" labelOnly="1" fieldPosition="0">
        <references count="1">
          <reference field="12" count="0"/>
        </references>
      </pivotArea>
    </format>
    <format dxfId="375">
      <pivotArea dataOnly="0" labelOnly="1" grandRow="1" outline="0" fieldPosition="0"/>
    </format>
    <format dxfId="374">
      <pivotArea dataOnly="0" labelOnly="1" outline="0" axis="axisValues" fieldPosition="0"/>
    </format>
    <format dxfId="5">
      <pivotArea type="all" dataOnly="0" outline="0" fieldPosition="0"/>
    </format>
    <format dxfId="4">
      <pivotArea outline="0" collapsedLevelsAreSubtotals="1" fieldPosition="0"/>
    </format>
    <format dxfId="3">
      <pivotArea field="12" type="button" dataOnly="0" labelOnly="1" outline="0" axis="axisRow" fieldPosition="0"/>
    </format>
    <format dxfId="2">
      <pivotArea dataOnly="0" labelOnly="1" fieldPosition="0">
        <references count="1">
          <reference field="12"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Type1" xr10:uid="{FA824C14-2591-48B5-8702-03A78C9E07C6}" sourceName="Project Type">
  <pivotTables>
    <pivotTable tabId="9" name="Project Type Slicer"/>
    <pivotTable tabId="9" name="Win Probability by Client Type"/>
    <pivotTable tabId="9" name="Count of Projects 1"/>
    <pivotTable tabId="9" name="Count of Projects 2"/>
    <pivotTable tabId="9" name="Guage Meter"/>
    <pivotTable tabId="9" name="Risk Index Slicer"/>
    <pivotTable tabId="9" name="Client Category Slicer"/>
    <pivotTable tabId="9" name="Tender Type Slicer"/>
    <pivotTable tabId="9" name="Location Slicer"/>
    <pivotTable tabId="9" name="Risk Assessment"/>
    <pivotTable tabId="9" name="Running Month Slicer"/>
    <pivotTable tabId="9" name="Decision Breakdown"/>
  </pivotTables>
  <data>
    <tabular pivotCacheId="584816492">
      <items count="4">
        <i x="1" s="1"/>
        <i x="2" s="1"/>
        <i x="3" s="1"/>
        <i x="0"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Index_Based_on__Commercial___Financial_Risk1" xr10:uid="{DA4C68CA-D400-42F2-A8D8-A2F144B0AC5B}" sourceName="Risk Index_x000a_Based on (Commercial &amp; Financial Risk)">
  <pivotTables>
    <pivotTable tabId="9" name="Risk Index Slicer"/>
    <pivotTable tabId="9" name="Win Probability by Client Type"/>
    <pivotTable tabId="9" name="Count of Projects 1"/>
    <pivotTable tabId="9" name="Guage Meter"/>
    <pivotTable tabId="9" name="Project Type Slicer"/>
    <pivotTable tabId="9" name="Count of Projects 2"/>
    <pivotTable tabId="9" name="Client Category Slicer"/>
    <pivotTable tabId="9" name="Tender Type Slicer"/>
    <pivotTable tabId="9" name="Location Slicer"/>
    <pivotTable tabId="9" name="Risk Assessment"/>
    <pivotTable tabId="9" name="Running Month Slicer"/>
    <pivotTable tabId="9" name="Decision Breakdown"/>
  </pivotTables>
  <data>
    <tabular pivotCacheId="584816492">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der_Type" xr10:uid="{A3A16D99-C65F-4D91-801F-252B639B2254}" sourceName="Tender Type">
  <pivotTables>
    <pivotTable tabId="9" name="Client Category Slicer"/>
    <pivotTable tabId="9" name="Win Probability by Client Type"/>
    <pivotTable tabId="9" name="Count of Projects 1"/>
    <pivotTable tabId="9" name="Count of Projects 2"/>
    <pivotTable tabId="9" name="Guage Meter"/>
    <pivotTable tabId="9" name="Project Type Slicer"/>
    <pivotTable tabId="9" name="Risk Index Slicer"/>
    <pivotTable tabId="9" name="Tender Type Slicer"/>
    <pivotTable tabId="9" name="Location Slicer"/>
    <pivotTable tabId="9" name="Risk Assessment"/>
    <pivotTable tabId="9" name="Running Month Slicer"/>
    <pivotTable tabId="9" name="Decision Breakdown"/>
  </pivotTables>
  <data>
    <tabular pivotCacheId="584816492">
      <items count="4">
        <i x="2" s="1"/>
        <i x="1" s="1"/>
        <i x="3" s="1"/>
        <i x="0"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Size" xr10:uid="{BFD837AA-524E-4BE3-BCDC-1208F83E3F16}" sourceName="Project Size">
  <pivotTables>
    <pivotTable tabId="9" name="Count of Projects 1"/>
    <pivotTable tabId="9" name="Win Probability by Client Type"/>
    <pivotTable tabId="9" name="Count of Projects 2"/>
    <pivotTable tabId="9" name="Guage Meter"/>
    <pivotTable tabId="9" name="Project Type Slicer"/>
    <pivotTable tabId="9" name="Risk Index Slicer"/>
    <pivotTable tabId="9" name="Client Category Slicer"/>
    <pivotTable tabId="9" name="Tender Type Slicer"/>
    <pivotTable tabId="9" name="Location Slicer"/>
    <pivotTable tabId="9" name="Risk Assessment"/>
    <pivotTable tabId="9" name="Running Month Slicer"/>
    <pivotTable tabId="9" name="Decision Breakdown"/>
  </pivotTables>
  <data>
    <tabular pivotCacheId="584816492">
      <items count="4">
        <i x="2" s="1"/>
        <i x="1" s="1"/>
        <i x="3" s="1"/>
        <i x="0"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of_Project" xr10:uid="{51AC559E-F38C-4514-A464-85107FED792C}" sourceName="Location of Project">
  <pivotTables>
    <pivotTable tabId="9" name="Location Slicer"/>
    <pivotTable tabId="9" name="Win Probability by Client Type"/>
    <pivotTable tabId="9" name="Count of Projects 1"/>
    <pivotTable tabId="9" name="Count of Projects 2"/>
    <pivotTable tabId="9" name="Guage Meter"/>
    <pivotTable tabId="9" name="Project Type Slicer"/>
    <pivotTable tabId="9" name="Risk Index Slicer"/>
    <pivotTable tabId="9" name="Client Category Slicer"/>
    <pivotTable tabId="9" name="Tender Type Slicer"/>
    <pivotTable tabId="9" name="Risk Assessment"/>
    <pivotTable tabId="9" name="Running Month Slicer"/>
    <pivotTable tabId="9" name="Decision Breakdown"/>
  </pivotTables>
  <data>
    <tabular pivotCacheId="584816492">
      <items count="23">
        <i x="9" s="1"/>
        <i x="22" s="1"/>
        <i x="12" s="1"/>
        <i x="16" s="1"/>
        <i x="18" s="1"/>
        <i x="6" s="1"/>
        <i x="13" s="1"/>
        <i x="19" s="1"/>
        <i x="5" s="1"/>
        <i x="7" s="1"/>
        <i x="11" s="1"/>
        <i x="17" s="1"/>
        <i x="2" s="1"/>
        <i x="21" s="1"/>
        <i x="3" s="1"/>
        <i x="4" s="1"/>
        <i x="15" s="1"/>
        <i x="20" s="1"/>
        <i x="1" s="1"/>
        <i x="8" s="1"/>
        <i x="10" s="1"/>
        <i x="14" s="1"/>
        <i x="0"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Slicer_Column" xr10:uid="{6F16A53C-16CA-4119-BB8D-97FF894C4B24}" sourceName="Month Slicer Column">
  <pivotTables>
    <pivotTable tabId="9" name="Running Month Slicer"/>
    <pivotTable tabId="9" name="Decision Breakdown"/>
    <pivotTable tabId="9" name="Guage Meter"/>
    <pivotTable tabId="9" name="Client Category Slicer"/>
    <pivotTable tabId="9" name="Location Slicer"/>
    <pivotTable tabId="9" name="Project Type Slicer"/>
    <pivotTable tabId="9" name="Risk Assessment"/>
    <pivotTable tabId="9" name="Risk Index Slicer"/>
    <pivotTable tabId="9" name="Tender Type Slicer"/>
    <pivotTable tabId="9" name="Win Probability by Client Type"/>
  </pivotTables>
  <data>
    <tabular pivotCacheId="584816492" showMissing="0">
      <items count="13">
        <i x="1" s="1"/>
        <i x="2" s="1"/>
        <i x="3" s="1"/>
        <i x="4" s="1"/>
        <i x="5" s="1"/>
        <i x="6" s="1"/>
        <i x="7" s="1"/>
        <i x="8" s="1"/>
        <i x="9" s="1"/>
        <i x="10" s="1"/>
        <i x="11" s="1"/>
        <i x="12" s="1"/>
        <i x="0"/>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Category__Sector" xr10:uid="{2CB39FB5-CECC-4ED6-8C68-C416B691BBF6}" sourceName="Client Category_x000a_(Sector)">
  <pivotTables>
    <pivotTable tabId="9" name="Client Category Slicer"/>
    <pivotTable tabId="9" name="Count of Projects 1"/>
    <pivotTable tabId="9" name="Count of Projects 2"/>
    <pivotTable tabId="9" name="Decision Breakdown"/>
    <pivotTable tabId="9" name="Guage Meter"/>
    <pivotTable tabId="9" name="Location Slicer"/>
    <pivotTable tabId="9" name="Project Type Slicer"/>
    <pivotTable tabId="9" name="Risk Assessment"/>
    <pivotTable tabId="9" name="Risk Index Slicer"/>
    <pivotTable tabId="9" name="Running Month Slicer"/>
    <pivotTable tabId="9" name="Tender Type Slicer"/>
    <pivotTable tabId="9" name="Win Probability by Client Type"/>
  </pivotTables>
  <data>
    <tabular pivotCacheId="584816492">
      <items count="4">
        <i x="1" s="1"/>
        <i x="2" s="1"/>
        <i x="3" s="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Type 1" xr10:uid="{E0126238-CB97-4A75-A163-2D47D9BF84F1}" cache="Slicer_Project_Type1" caption="Project Type" style="SlicerStyleLight1 2" rowHeight="274320"/>
  <slicer name="Risk Index_x000a_Based on (Commercial &amp; Financial Risk) 1" xr10:uid="{A6CAAE7E-D52B-43F9-9AEA-CB61F401602D}" cache="Slicer_Risk_Index_Based_on__Commercial___Financial_Risk1" caption="Risk Index_x000a_Based on (Commercial &amp; Financial Risk)" style="SlicerStyleLight1 2" rowHeight="274320"/>
  <slicer name="Tender Type" xr10:uid="{1B98AC86-65A1-491D-84E0-43B675665E8D}" cache="Slicer_Tender_Type" caption="Tender Type" style="SlicerStyleLight1 2" rowHeight="274320"/>
  <slicer name="Project Size" xr10:uid="{CC7A8F77-E6C3-4573-8BEA-1FBB98CFB1D3}" cache="Slicer_Project_Size" caption="Project Size" style="SlicerStyleLight1 2" rowHeight="274320"/>
  <slicer name="Location of Project" xr10:uid="{02768CA9-B1BB-4A29-A1E1-2B206A1ABA32}" cache="Slicer_Location_of_Project" caption="Location of Project" style="SlicerStyleLight1 2" rowHeight="274320"/>
  <slicer name="Month Slicer Column" xr10:uid="{A0FAF56E-BC75-42D8-B1B1-A0F79254D075}" cache="Slicer_Month_Slicer_Column" caption="Month Slicer Column" columnCount="12" showCaption="0" style="SlicerStyleLight1 2 2 4" rowHeight="320040"/>
  <slicer name="Client Category_x000a_(Sector)" xr10:uid="{0870544D-B76B-43DD-AA10-1D26B4EDB727}" cache="Slicer_Client_Category__Sector" caption="Client Category_x000a_(Sector)" style="SlicerStyleLight1 2 2 4"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6E38CFB-A7EC-4CA8-BE75-FBC77CFD719E}" name="Mytable" displayName="Mytable" ref="D7:BA31" totalsRowShown="0" headerRowDxfId="438" dataDxfId="437" tableBorderDxfId="436">
  <autoFilter ref="D7:BA31" xr:uid="{F6E38CFB-A7EC-4CA8-BE75-FBC77CFD719E}">
    <filterColumn colId="7">
      <customFilters>
        <customFilter operator="notEqual" val=" "/>
      </customFilters>
    </filterColumn>
  </autoFilter>
  <tableColumns count="50">
    <tableColumn id="1" xr3:uid="{4A4C5ED4-BB79-42BE-A9E0-7C7969B3ECA8}" name="Project Name" dataDxfId="435"/>
    <tableColumn id="2" xr3:uid="{FA58AFC3-4FD1-476C-B8B0-C14AFE6C6437}" name="Location of Project" dataDxfId="434"/>
    <tableColumn id="3" xr3:uid="{5C61FD77-26C6-466D-814E-15B6D3194D39}" name="Project Type" dataDxfId="433"/>
    <tableColumn id="4" xr3:uid="{9CF1D901-2A7E-4557-BE9C-0897F9139F69}" name="Estimated Value" dataDxfId="432"/>
    <tableColumn id="5" xr3:uid="{B2CEDED0-2C5F-47DC-B919-579C251463E9}" name="Project Size" dataDxfId="431">
      <calculatedColumnFormula>IF(G8&gt;=3000000,"Mega",IF(G8&gt;=2000000,"Large","Medium/Small"))</calculatedColumnFormula>
    </tableColumn>
    <tableColumn id="6" xr3:uid="{9FD2F1F0-704A-4A9C-AE9F-30C77CDB4916}" name="Project Duration" dataDxfId="430"/>
    <tableColumn id="7" xr3:uid="{2436E159-4523-4A26-9FFB-046A221F4C8D}" name="Tender Type" dataDxfId="429"/>
    <tableColumn id="8" xr3:uid="{A7835DD1-5C47-4D7D-9FE7-4FD422DAE992}" name="Submission_x000a_Date" dataDxfId="428"/>
    <tableColumn id="51" xr3:uid="{A6159640-8218-4BBA-A0BB-CB9F3E6663BD}" name="Year" dataDxfId="427">
      <calculatedColumnFormula>YEAR(Mytable[[#This Row],[Submission
Date]])</calculatedColumnFormula>
    </tableColumn>
    <tableColumn id="45" xr3:uid="{97B1EE89-375B-4D39-8B60-4BCCD503D724}" name="Month Slicer Column" dataDxfId="426"/>
    <tableColumn id="44" xr3:uid="{2ED2FCED-4FFE-4B34-A6E9-D3C8C2B4E56B}" name="Running Month" dataDxfId="425"/>
    <tableColumn id="9" xr3:uid="{7BDC03E6-6DC1-4BEE-BB30-9B8EF2E1E56A}" name="Client Name " dataDxfId="424"/>
    <tableColumn id="10" xr3:uid="{1956F5B4-3DE3-4CE7-9271-0489F591F5E9}" name="Client Category_x000a_(Sector)" dataDxfId="423"/>
    <tableColumn id="11" xr3:uid="{8E16A29C-4D58-47FF-9462-CFBCAAFFA5E8}" name="Consultant" dataDxfId="422"/>
    <tableColumn id="12" xr3:uid="{EC6921AE-ACC5-4211-87E0-09058EEB250F}" name="Project Management Consultancy_x000a_(if any)" dataDxfId="421"/>
    <tableColumn id="13" xr3:uid="{D59EDB67-AFB1-48A1-BDD5-C3A7331693C8}" name="Relationship_x000a_Strength" dataDxfId="420"/>
    <tableColumn id="14" xr3:uid="{733E0FD5-F8B1-49CC-B08E-5CDEA3E91E3D}" name="Budget Known" dataDxfId="419"/>
    <tableColumn id="15" xr3:uid="{739372B3-CB28-4278-B476-09FE6B70AFBC}" name="Competitors" dataDxfId="418"/>
    <tableColumn id="16" xr3:uid="{9E90A902-D710-49C3-A7C1-09371675CE72}" name="Limited Invitation" dataDxfId="417"/>
    <tableColumn id="17" xr3:uid="{A7D1B44C-82E4-4270-8CCB-7AC1A07ECA9E}" name="Similar Experience" dataDxfId="416"/>
    <tableColumn id="18" xr3:uid="{F1F4FA15-75C5-4D84-BD47-7B272B9A6849}" name="No Price Breakers_x000a_(Lump-Sum)" dataDxfId="415"/>
    <tableColumn id="19" xr3:uid="{6498C3EA-9431-4AA2-BE32-673AEA2DED22}" name="Technical Advantage" dataDxfId="414"/>
    <tableColumn id="20" xr3:uid="{FA43B2AA-8A3C-4AC8-8E3D-5D6D54735F3B}" name="Within Expertise" dataDxfId="413"/>
    <tableColumn id="21" xr3:uid="{FE761377-EF5A-4A8B-9AE5-6F114009E66C}" name="Low Changes Expected" dataDxfId="412"/>
    <tableColumn id="22" xr3:uid="{879162D0-1715-449D-8616-30FAC1F99EA6}" name="Good Location" dataDxfId="411"/>
    <tableColumn id="23" xr3:uid="{C867E85C-2D73-44CF-B1A9-26336785F950}" name="Team Availablility" dataDxfId="410"/>
    <tableColumn id="24" xr3:uid="{6AA94145-6A4F-4291-9F3A-1E9D298E0C4B}" name="Equipment Availablility" dataDxfId="409"/>
    <tableColumn id="25" xr3:uid="{9FE467DF-4300-4163-84B5-DF966F07ADDD}" name="Cash Flow_x000a_Capability" dataDxfId="408"/>
    <tableColumn id="26" xr3:uid="{480706D2-A4E5-4D47-970A-2D8F83618482}" name="Current_x000a_Workload" dataDxfId="407"/>
    <tableColumn id="27" xr3:uid="{B7EC89DC-84E7-44AC-9236-E1246EA98805}" name="No Impact_x000a_on Running Projects" dataDxfId="406"/>
    <tableColumn id="28" xr3:uid="{F408A8D7-F482-4CEF-8E9C-3207DF9D5B7A}" name="LD (Liquidated damages)" dataDxfId="405"/>
    <tableColumn id="29" xr3:uid="{AD9CF181-92EA-4AC0-A78B-19937FE6458A}" name="Advance Payment Guarantee" dataDxfId="404"/>
    <tableColumn id="30" xr3:uid="{B78A4383-2E2C-4E1F-8845-446A518B3CF0}" name="Performance Bond" dataDxfId="403"/>
    <tableColumn id="31" xr3:uid="{9D859CFE-2913-4B1E-A931-072CF3D884C1}" name="Retention" dataDxfId="402"/>
    <tableColumn id="32" xr3:uid="{996FAAEE-504E-455E-BFAA-AEAFBF257661}" name="New System_x000a_(Never Done Before)" dataDxfId="401"/>
    <tableColumn id="33" xr3:uid="{15267B34-FDE5-49B5-8120-6327746CE3BD}" name="Complex_x000a_MEP" dataDxfId="400"/>
    <tableColumn id="34" xr3:uid="{3C2ADB0B-0531-415E-AE02-23BA0DF7E3B4}" name="Special Authority Approvals" dataDxfId="399"/>
    <tableColumn id="35" xr3:uid="{13473EFD-EE9A-4311-AD3D-3FB538DACC76}" name="Client_x000a_Reputation" dataDxfId="398"/>
    <tableColumn id="36" xr3:uid="{73DA7FF4-2107-49D6-9620-A6D0B22FC32E}" name="Clear Drawings" dataDxfId="397"/>
    <tableColumn id="37" xr3:uid="{2F187BC3-3A84-49F1-926D-5672A51CE098}" name="Advance Payment" dataDxfId="396"/>
    <tableColumn id="38" xr3:uid="{7DE90660-DC08-4424-A6D1-011FFDA8FD36}" name="Payments" dataDxfId="395"/>
    <tableColumn id="39" xr3:uid="{2C768490-98ED-4D8D-AD92-B7C6F2260353}" name="Financial Duration OK" dataDxfId="394"/>
    <tableColumn id="40" xr3:uid="{08F1D216-3E7E-4D67-973D-0AE296FEDE32}" name="Total Score" dataDxfId="393">
      <calculatedColumnFormula>SUM(S8:AS8)</calculatedColumnFormula>
    </tableColumn>
    <tableColumn id="41" xr3:uid="{B0EC1C22-4511-4B41-8BE9-82F0221E7206}" name="Risk Index_x000a_Based on (Commercial &amp; Financial Risk)" dataDxfId="392">
      <calculatedColumnFormula>IF(AT8&lt;55, "HIGH", IF(AND(OR(AQ8&lt;=2, AR8&lt;=2), AT8&lt;55), "HIGH", IF(AT8&lt;90, "MEDIUM", "LOW")))</calculatedColumnFormula>
    </tableColumn>
    <tableColumn id="42" xr3:uid="{D1056D47-FACF-4D7F-A309-DC74D08B312E}" name="Decision_x000a_Logic" dataDxfId="391">
      <calculatedColumnFormula>IF(AU8="HIGH", "NO GO", IF(OR(AT8&gt;=80), "GO", IF(OR(AT8&gt;=55, AU8="MEDIUM"), "REVIEW", "NO GO")))</calculatedColumnFormula>
    </tableColumn>
    <tableColumn id="43" xr3:uid="{B4D3AE84-EE02-4DB9-A0DB-48D017EDA717}" name="Expect_x000a_Win %" dataDxfId="390" dataCellStyle="Percent">
      <calculatedColumnFormula>_xlfn.LET(
_xlpm.Score,AT8,
_xlpm.Risk,AU8,
_xlpm.Base,IF(_xlpm.Score&gt;=101,0.75,IF(_xlpm.Score&gt;=81,0.6,IF(_xlpm.Score&gt;=60,0.45,IF(_xlpm.Score&gt;=40,0.3,0.15)))),
IF(_xlpm.Risk="HIGH",_xlpm.Base*0.6,
 IF(_xlpm.Risk="MEDIUM",_xlpm.Base*0.85,_xlpm.Base))
)</calculatedColumnFormula>
    </tableColumn>
    <tableColumn id="46" xr3:uid="{08775394-FECC-41FA-95F6-602F74C7C92F}" name="Hard Stop" dataDxfId="389">
      <calculatedColumnFormula>IF(OR(Mytable[[#This Row],[Client
Reputation]]=0, Mytable[[#This Row],[Clear Drawings]]=0, AQ8=0, AR8=0, AS8=0, AU8="HIGH"), "NO GO", IF(OR(AT8&gt;=95, AU8="LOW"), "GO", IF(OR(AT8&gt;=75, AU8="MEDIUM"), "REVIEW", "NO GO")))</calculatedColumnFormula>
    </tableColumn>
    <tableColumn id="48" xr3:uid="{21714182-E089-4C71-948A-70FE5D261A56}" name="Won, Lost &amp; Pending" dataDxfId="388"/>
    <tableColumn id="49" xr3:uid="{687E9B82-7D0A-4645-B5F1-CD0E6C3AEC23}" name="Remarks_x000a_(Reason of Won, Lost &amp; Rejected)" dataDxfId="387"/>
    <tableColumn id="50" xr3:uid="{6A6BA922-AD8D-4078-807D-4D67A8271853}" name="Links" dataDxfId="38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FEB5A6-4AB3-44F5-B2B4-F001866AED96}" name="CEOinput" displayName="CEOinput" ref="G7:S32" totalsRowShown="0" headerRowDxfId="158" dataDxfId="157">
  <autoFilter ref="G7:S32" xr:uid="{11FEB5A6-4AB3-44F5-B2B4-F001866AED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2" xr3:uid="{E473FA29-5435-4ABA-90FC-129A8206C95B}" name="Project Name" dataDxfId="156">
      <calculatedColumnFormula>IF(Input!D10=0,"",Input!D10)</calculatedColumnFormula>
    </tableColumn>
    <tableColumn id="3" xr3:uid="{DB9AAB54-394B-4713-94DC-F2336654B172}" name="Total Score" dataDxfId="155">
      <calculatedColumnFormula>IF(Input!AT10=0,"",Input!AT10)</calculatedColumnFormula>
    </tableColumn>
    <tableColumn id="4" xr3:uid="{5980E037-4954-41F5-AE20-634C8341E7F0}" name="Risk Index" dataDxfId="154">
      <calculatedColumnFormula>IF(Input!AU10=0,"",Input!AU10)</calculatedColumnFormula>
    </tableColumn>
    <tableColumn id="5" xr3:uid="{46346110-EA75-4CF0-8DEA-4AD0DFD00624}" name="Decision" dataDxfId="153">
      <calculatedColumnFormula>IF(Input!AV10=0,"",Input!AV10)</calculatedColumnFormula>
    </tableColumn>
    <tableColumn id="6" xr3:uid="{EF08F073-B1DC-475F-9C5F-5D1B5AC2B358}" name="Expected Win %" dataDxfId="152">
      <calculatedColumnFormula>IF(Input!AW10=0,"",Input!AW10)</calculatedColumnFormula>
    </tableColumn>
    <tableColumn id="1" xr3:uid="{70F32BEA-2387-4BC2-9246-5BDC389D1068}" name="Won, Lost, Pending" dataDxfId="151">
      <calculatedColumnFormula>IF(Input!AY10=0,"",Input!AY10)</calculatedColumnFormula>
    </tableColumn>
    <tableColumn id="7" xr3:uid="{A40AD7AB-071F-43CA-85F7-2D21BA821A15}" name="Column1" dataDxfId="150"/>
    <tableColumn id="8" xr3:uid="{158F53FA-EF0C-425B-AE27-2835EFCB889D}" name="Running Month" dataDxfId="149">
      <calculatedColumnFormula>IF(Input!N10=0,"",Input!N10)</calculatedColumnFormula>
    </tableColumn>
    <tableColumn id="9" xr3:uid="{6C9A823E-E3B5-4C59-9484-68141EC3A1BC}" name="Location of Project" dataDxfId="148">
      <calculatedColumnFormula>IF(Input!E10=0,"",Input!E10)</calculatedColumnFormula>
    </tableColumn>
    <tableColumn id="10" xr3:uid="{1A2B7E09-FCC9-4501-9354-DF85DE42334E}" name="Contract Value" dataDxfId="147"/>
    <tableColumn id="11" xr3:uid="{517B462A-8260-4F9B-9201-E44C4061E4CE}" name="Estimated Value" dataDxfId="146">
      <calculatedColumnFormula>IF(Input!G10=0,"",Input!G10)</calculatedColumnFormula>
    </tableColumn>
    <tableColumn id="13" xr3:uid="{6959048E-3206-400F-BC87-E42721D2613B}" name="Actual Spend" dataDxfId="145">
      <calculatedColumnFormula>CEOinput[[#This Row],[Estimated Value]]+10000</calculatedColumnFormula>
    </tableColumn>
    <tableColumn id="12" xr3:uid="{26BDCA94-EB3F-4D96-9C0E-2737B33E05CD}" name="Active &amp; Awaiting Projects" dataDxfId="14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4.png"/></Relationships>
</file>

<file path=xl/webextensions/webextension1.xml><?xml version="1.0" encoding="utf-8"?>
<we:webextension xmlns:we="http://schemas.microsoft.com/office/webextensions/webextension/2010/11" id="{50B19C31-4B45-B732-01D6-BA0A775773D0}">
  <we:reference id="wa102957665" version="1.3.0.0" store="en-US" storeType="OMEX"/>
  <we:alternateReferences>
    <we:reference id="WA102957665" version="1.3.0.0" store="WA102957665" storeType="OMEX"/>
  </we:alternateReferences>
  <we:properties>
    <we:property name="opt_cal_sys" value="1"/>
    <we:property name="opt_confirm" value="true"/>
    <we:property name="opt_month" value="&quot;2025-04-01&quot;"/>
    <we:property name="opt_size" value="0"/>
    <we:property name="opt_theme" value="4"/>
    <we:property name="opt_wn" value="false"/>
  </we:properties>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B1:BB64"/>
  <sheetViews>
    <sheetView showGridLines="0" tabSelected="1" view="pageBreakPreview" zoomScaleNormal="51" zoomScaleSheetLayoutView="100" workbookViewId="0">
      <pane xSplit="4" ySplit="8" topLeftCell="E9" activePane="bottomRight" state="frozen"/>
      <selection activeCell="E24" sqref="E24"/>
      <selection pane="topRight" activeCell="E24" sqref="E24"/>
      <selection pane="bottomLeft" activeCell="E24" sqref="E24"/>
      <selection pane="bottomRight" activeCell="O22" sqref="O22"/>
    </sheetView>
  </sheetViews>
  <sheetFormatPr defaultRowHeight="20.100000000000001" customHeight="1" outlineLevelCol="1" x14ac:dyDescent="0.25"/>
  <cols>
    <col min="1" max="1" width="2.28515625" style="2" customWidth="1"/>
    <col min="2" max="2" width="1.7109375" style="2" customWidth="1"/>
    <col min="3" max="3" width="5.42578125" style="2" customWidth="1"/>
    <col min="4" max="4" width="18.85546875" style="2" customWidth="1"/>
    <col min="5" max="5" width="19.5703125" style="2" bestFit="1" customWidth="1"/>
    <col min="6" max="6" width="17.7109375" style="2" customWidth="1"/>
    <col min="7" max="7" width="22.5703125" style="2" customWidth="1"/>
    <col min="8" max="8" width="16.7109375" style="2" customWidth="1"/>
    <col min="9" max="9" width="14.5703125" style="2" customWidth="1"/>
    <col min="10" max="10" width="14" style="2" customWidth="1"/>
    <col min="11" max="11" width="14.140625" style="20" customWidth="1"/>
    <col min="12" max="12" width="8" style="20" hidden="1" customWidth="1"/>
    <col min="13" max="13" width="13" style="20" hidden="1" customWidth="1"/>
    <col min="14" max="14" width="12.140625" style="20" hidden="1" customWidth="1"/>
    <col min="15" max="15" width="31.7109375" style="2" customWidth="1"/>
    <col min="16" max="16" width="14.42578125" style="2" customWidth="1"/>
    <col min="17" max="17" width="16" style="2" customWidth="1"/>
    <col min="18" max="18" width="16.28515625" style="2" customWidth="1"/>
    <col min="19" max="19" width="16.85546875" style="2" customWidth="1" outlineLevel="1"/>
    <col min="20" max="29" width="16" style="2" customWidth="1" outlineLevel="1"/>
    <col min="30" max="30" width="19.42578125" style="2" customWidth="1" outlineLevel="1"/>
    <col min="31" max="31" width="14" style="2" customWidth="1" outlineLevel="1"/>
    <col min="32" max="32" width="13.42578125" style="2" customWidth="1" outlineLevel="1"/>
    <col min="33" max="33" width="15.42578125" style="2" customWidth="1" outlineLevel="1"/>
    <col min="34" max="34" width="20.140625" style="2" customWidth="1" outlineLevel="1"/>
    <col min="35" max="35" width="16.85546875" style="2" customWidth="1" outlineLevel="1"/>
    <col min="36" max="36" width="17.7109375" style="2" customWidth="1" outlineLevel="1"/>
    <col min="37" max="37" width="14.7109375" style="2" customWidth="1" outlineLevel="1"/>
    <col min="38" max="38" width="16.85546875" style="2" customWidth="1" outlineLevel="1"/>
    <col min="39" max="39" width="11.5703125" style="2" customWidth="1" outlineLevel="1"/>
    <col min="40" max="40" width="16.42578125" style="2" customWidth="1" outlineLevel="1"/>
    <col min="41" max="41" width="14.7109375" style="2" customWidth="1" outlineLevel="1"/>
    <col min="42" max="42" width="15.5703125" style="2" customWidth="1" outlineLevel="1"/>
    <col min="43" max="43" width="15.28515625" style="2" customWidth="1" outlineLevel="1"/>
    <col min="44" max="44" width="15.85546875" style="2" customWidth="1" outlineLevel="1"/>
    <col min="45" max="45" width="18.5703125" style="2" customWidth="1" outlineLevel="1"/>
    <col min="46" max="46" width="17.140625" style="2" customWidth="1"/>
    <col min="47" max="47" width="15.85546875" style="2" customWidth="1"/>
    <col min="48" max="48" width="13.140625" style="2" customWidth="1"/>
    <col min="49" max="49" width="13" style="2" customWidth="1"/>
    <col min="50" max="50" width="13.85546875" style="2" customWidth="1"/>
    <col min="51" max="51" width="16.28515625" style="2" customWidth="1"/>
    <col min="52" max="52" width="33.140625" style="2" customWidth="1"/>
    <col min="53" max="53" width="32" style="2" customWidth="1"/>
    <col min="54" max="54" width="2.140625" style="2" customWidth="1"/>
    <col min="55" max="16384" width="9.140625" style="2"/>
  </cols>
  <sheetData>
    <row r="1" spans="2:54" ht="9.9499999999999993" customHeight="1" thickBot="1" x14ac:dyDescent="0.3">
      <c r="B1" s="1"/>
      <c r="C1" s="1"/>
      <c r="D1" s="1"/>
      <c r="E1" s="1"/>
      <c r="F1" s="1"/>
      <c r="G1" s="1"/>
      <c r="H1" s="1"/>
      <c r="I1" s="1"/>
      <c r="J1" s="1"/>
      <c r="K1" s="17"/>
      <c r="L1" s="17"/>
      <c r="M1" s="17"/>
      <c r="N1" s="17"/>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spans="2:54" ht="22.5" customHeight="1" x14ac:dyDescent="0.2">
      <c r="B2" s="1"/>
      <c r="C2" s="169" t="e" vm="1">
        <v>#VALUE!</v>
      </c>
      <c r="D2" s="170"/>
      <c r="E2" s="170"/>
      <c r="F2" s="170"/>
      <c r="G2" s="170"/>
      <c r="H2" s="170"/>
      <c r="I2" s="170"/>
      <c r="J2" s="171"/>
      <c r="K2" s="149"/>
      <c r="L2" s="69"/>
      <c r="M2" s="69"/>
      <c r="N2" s="149"/>
      <c r="O2" s="158">
        <f ca="1">NOW()</f>
        <v>46127.532568981478</v>
      </c>
      <c r="P2" s="159"/>
      <c r="Q2" s="159"/>
      <c r="R2" s="159"/>
      <c r="S2" s="3"/>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73"/>
      <c r="AZ2" s="73"/>
      <c r="BA2" s="74"/>
      <c r="BB2" s="1"/>
    </row>
    <row r="3" spans="2:54" ht="22.5" customHeight="1" x14ac:dyDescent="0.2">
      <c r="B3" s="1"/>
      <c r="C3" s="172"/>
      <c r="D3" s="173"/>
      <c r="E3" s="173"/>
      <c r="F3" s="173"/>
      <c r="G3" s="173"/>
      <c r="H3" s="173"/>
      <c r="I3" s="173"/>
      <c r="J3" s="174"/>
      <c r="K3" s="150"/>
      <c r="L3" s="70"/>
      <c r="M3" s="70"/>
      <c r="N3" s="150"/>
      <c r="O3" s="160"/>
      <c r="P3" s="161"/>
      <c r="Q3" s="161"/>
      <c r="R3" s="161"/>
      <c r="S3" s="5"/>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82"/>
      <c r="AZ3" s="82"/>
      <c r="BA3" s="75"/>
      <c r="BB3" s="1"/>
    </row>
    <row r="4" spans="2:54" ht="22.5" customHeight="1" thickBot="1" x14ac:dyDescent="0.25">
      <c r="B4" s="1"/>
      <c r="C4" s="175"/>
      <c r="D4" s="176"/>
      <c r="E4" s="176"/>
      <c r="F4" s="176"/>
      <c r="G4" s="176"/>
      <c r="H4" s="176"/>
      <c r="I4" s="176"/>
      <c r="J4" s="177"/>
      <c r="K4" s="151"/>
      <c r="L4" s="71"/>
      <c r="M4" s="71"/>
      <c r="N4" s="151"/>
      <c r="O4" s="162"/>
      <c r="P4" s="163"/>
      <c r="Q4" s="163"/>
      <c r="R4" s="163"/>
      <c r="S4" s="7"/>
      <c r="T4" s="8"/>
      <c r="U4" s="8"/>
      <c r="V4" s="9"/>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76"/>
      <c r="AZ4" s="76"/>
      <c r="BA4" s="77"/>
      <c r="BB4" s="1"/>
    </row>
    <row r="5" spans="2:54" ht="9.9499999999999993" customHeight="1" x14ac:dyDescent="0.25">
      <c r="B5" s="1"/>
      <c r="C5" s="1"/>
      <c r="D5" s="1"/>
      <c r="E5" s="1"/>
      <c r="F5" s="1"/>
      <c r="G5" s="1"/>
      <c r="H5" s="1"/>
      <c r="I5" s="1"/>
      <c r="J5" s="1"/>
      <c r="K5" s="17"/>
      <c r="L5" s="17"/>
      <c r="M5" s="17"/>
      <c r="N5" s="17"/>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row>
    <row r="6" spans="2:54" s="16" customFormat="1" ht="20.100000000000001" customHeight="1" x14ac:dyDescent="0.25">
      <c r="B6" s="14"/>
      <c r="C6" s="167" t="s">
        <v>58</v>
      </c>
      <c r="D6" s="167"/>
      <c r="E6" s="167"/>
      <c r="F6" s="167"/>
      <c r="G6" s="167"/>
      <c r="H6" s="167"/>
      <c r="I6" s="167"/>
      <c r="J6" s="168"/>
      <c r="K6" s="137"/>
      <c r="L6" s="26"/>
      <c r="M6" s="26"/>
      <c r="N6" s="26"/>
      <c r="O6" s="155" t="s">
        <v>57</v>
      </c>
      <c r="P6" s="156"/>
      <c r="Q6" s="156"/>
      <c r="R6" s="157"/>
      <c r="S6" s="152" t="s">
        <v>53</v>
      </c>
      <c r="T6" s="153"/>
      <c r="U6" s="153"/>
      <c r="V6" s="153"/>
      <c r="W6" s="153"/>
      <c r="X6" s="153"/>
      <c r="Y6" s="153"/>
      <c r="Z6" s="153"/>
      <c r="AA6" s="153"/>
      <c r="AB6" s="154"/>
      <c r="AC6" s="155" t="s">
        <v>50</v>
      </c>
      <c r="AD6" s="156"/>
      <c r="AE6" s="156"/>
      <c r="AF6" s="156"/>
      <c r="AG6" s="157"/>
      <c r="AH6" s="152" t="s">
        <v>41</v>
      </c>
      <c r="AI6" s="153"/>
      <c r="AJ6" s="153"/>
      <c r="AK6" s="154"/>
      <c r="AL6" s="155" t="s">
        <v>46</v>
      </c>
      <c r="AM6" s="156"/>
      <c r="AN6" s="157"/>
      <c r="AO6" s="152" t="s">
        <v>52</v>
      </c>
      <c r="AP6" s="153"/>
      <c r="AQ6" s="153"/>
      <c r="AR6" s="153"/>
      <c r="AS6" s="154"/>
      <c r="AT6" s="27"/>
      <c r="AU6" s="28"/>
      <c r="AV6" s="27"/>
      <c r="AW6" s="27"/>
      <c r="AX6" s="83"/>
      <c r="AY6" s="164"/>
      <c r="AZ6" s="165"/>
      <c r="BA6" s="166"/>
      <c r="BB6" s="14"/>
    </row>
    <row r="7" spans="2:54" s="16" customFormat="1" ht="69" customHeight="1" x14ac:dyDescent="0.25">
      <c r="B7" s="14"/>
      <c r="C7" s="147" t="s">
        <v>60</v>
      </c>
      <c r="D7" s="133" t="s">
        <v>0</v>
      </c>
      <c r="E7" s="134" t="s">
        <v>173</v>
      </c>
      <c r="F7" s="134" t="s">
        <v>54</v>
      </c>
      <c r="G7" s="134" t="s">
        <v>3</v>
      </c>
      <c r="H7" s="134" t="s">
        <v>85</v>
      </c>
      <c r="I7" s="134" t="s">
        <v>55</v>
      </c>
      <c r="J7" s="134" t="s">
        <v>56</v>
      </c>
      <c r="K7" s="138" t="s">
        <v>188</v>
      </c>
      <c r="L7" s="43" t="s">
        <v>189</v>
      </c>
      <c r="M7" s="43" t="s">
        <v>226</v>
      </c>
      <c r="N7" s="33" t="s">
        <v>139</v>
      </c>
      <c r="O7" s="132" t="s">
        <v>109</v>
      </c>
      <c r="P7" s="133" t="s">
        <v>242</v>
      </c>
      <c r="Q7" s="134" t="s">
        <v>2</v>
      </c>
      <c r="R7" s="134" t="s">
        <v>241</v>
      </c>
      <c r="S7" s="21" t="s">
        <v>26</v>
      </c>
      <c r="T7" s="21" t="s">
        <v>27</v>
      </c>
      <c r="U7" s="21" t="s">
        <v>51</v>
      </c>
      <c r="V7" s="21" t="s">
        <v>28</v>
      </c>
      <c r="W7" s="21" t="s">
        <v>29</v>
      </c>
      <c r="X7" s="21" t="s">
        <v>203</v>
      </c>
      <c r="Y7" s="21" t="s">
        <v>30</v>
      </c>
      <c r="Z7" s="21" t="s">
        <v>32</v>
      </c>
      <c r="AA7" s="21" t="s">
        <v>83</v>
      </c>
      <c r="AB7" s="21" t="s">
        <v>34</v>
      </c>
      <c r="AC7" s="21" t="s">
        <v>38</v>
      </c>
      <c r="AD7" s="21" t="s">
        <v>35</v>
      </c>
      <c r="AE7" s="21" t="s">
        <v>36</v>
      </c>
      <c r="AF7" s="21" t="s">
        <v>39</v>
      </c>
      <c r="AG7" s="21" t="s">
        <v>84</v>
      </c>
      <c r="AH7" s="21" t="s">
        <v>42</v>
      </c>
      <c r="AI7" s="21" t="s">
        <v>44</v>
      </c>
      <c r="AJ7" s="21" t="s">
        <v>43</v>
      </c>
      <c r="AK7" s="21" t="s">
        <v>45</v>
      </c>
      <c r="AL7" s="21" t="s">
        <v>47</v>
      </c>
      <c r="AM7" s="21" t="s">
        <v>48</v>
      </c>
      <c r="AN7" s="21" t="s">
        <v>49</v>
      </c>
      <c r="AO7" s="21" t="s">
        <v>37</v>
      </c>
      <c r="AP7" s="21" t="s">
        <v>31</v>
      </c>
      <c r="AQ7" s="21" t="s">
        <v>33</v>
      </c>
      <c r="AR7" s="21" t="s">
        <v>175</v>
      </c>
      <c r="AS7" s="21" t="s">
        <v>164</v>
      </c>
      <c r="AT7" s="23" t="s">
        <v>4</v>
      </c>
      <c r="AU7" s="24" t="s">
        <v>163</v>
      </c>
      <c r="AV7" s="23" t="s">
        <v>59</v>
      </c>
      <c r="AW7" s="23" t="s">
        <v>40</v>
      </c>
      <c r="AX7" s="80" t="s">
        <v>172</v>
      </c>
      <c r="AY7" s="68" t="s">
        <v>176</v>
      </c>
      <c r="AZ7" s="68" t="s">
        <v>243</v>
      </c>
      <c r="BA7" s="68" t="s">
        <v>177</v>
      </c>
      <c r="BB7" s="14"/>
    </row>
    <row r="8" spans="2:54" s="16" customFormat="1" ht="20.100000000000001" hidden="1" customHeight="1" x14ac:dyDescent="0.25">
      <c r="B8" s="14"/>
      <c r="C8" s="148"/>
      <c r="D8" s="136"/>
      <c r="E8" s="135"/>
      <c r="F8" s="135"/>
      <c r="G8" s="135"/>
      <c r="H8" s="135"/>
      <c r="I8" s="135"/>
      <c r="J8" s="135"/>
      <c r="K8" s="30"/>
      <c r="L8" s="30">
        <f>YEAR(Mytable[[#This Row],[Submission
Date]])</f>
        <v>1900</v>
      </c>
      <c r="M8" s="30"/>
      <c r="N8" s="30"/>
      <c r="O8" s="22"/>
      <c r="P8" s="22"/>
      <c r="Q8" s="21"/>
      <c r="R8" s="21"/>
      <c r="S8" s="15" t="s">
        <v>25</v>
      </c>
      <c r="T8" s="15" t="s">
        <v>25</v>
      </c>
      <c r="U8" s="15" t="s">
        <v>25</v>
      </c>
      <c r="V8" s="15" t="s">
        <v>25</v>
      </c>
      <c r="W8" s="15" t="s">
        <v>25</v>
      </c>
      <c r="X8" s="15" t="s">
        <v>25</v>
      </c>
      <c r="Y8" s="15" t="s">
        <v>25</v>
      </c>
      <c r="Z8" s="15" t="s">
        <v>25</v>
      </c>
      <c r="AA8" s="15" t="s">
        <v>25</v>
      </c>
      <c r="AB8" s="15" t="s">
        <v>25</v>
      </c>
      <c r="AC8" s="15" t="s">
        <v>25</v>
      </c>
      <c r="AD8" s="15" t="s">
        <v>25</v>
      </c>
      <c r="AE8" s="15" t="s">
        <v>25</v>
      </c>
      <c r="AF8" s="15" t="s">
        <v>25</v>
      </c>
      <c r="AG8" s="15" t="s">
        <v>25</v>
      </c>
      <c r="AH8" s="15" t="s">
        <v>25</v>
      </c>
      <c r="AI8" s="15" t="s">
        <v>25</v>
      </c>
      <c r="AJ8" s="15" t="s">
        <v>25</v>
      </c>
      <c r="AK8" s="15" t="s">
        <v>25</v>
      </c>
      <c r="AL8" s="15" t="s">
        <v>25</v>
      </c>
      <c r="AM8" s="15" t="s">
        <v>25</v>
      </c>
      <c r="AN8" s="15" t="s">
        <v>25</v>
      </c>
      <c r="AO8" s="15" t="s">
        <v>25</v>
      </c>
      <c r="AP8" s="15" t="s">
        <v>25</v>
      </c>
      <c r="AQ8" s="15" t="s">
        <v>25</v>
      </c>
      <c r="AR8" s="15" t="s">
        <v>25</v>
      </c>
      <c r="AS8" s="15" t="s">
        <v>25</v>
      </c>
      <c r="AT8" s="21"/>
      <c r="AU8" s="25" t="str">
        <f t="shared" ref="AU8:AU31" si="0">IF(AT8&lt;55, "HIGH", IF(AND(OR(AQ8&lt;=2, AR8&lt;=2), AT8&lt;55), "HIGH", IF(AT8&lt;90, "MEDIUM", "LOW")))</f>
        <v>HIGH</v>
      </c>
      <c r="AV8" s="21" t="str">
        <f t="shared" ref="AV8:AV31" si="1">IF(AU8="HIGH", "NO GO", IF(OR(AT8&gt;=80), "GO", IF(OR(AT8&gt;=55, AU8="MEDIUM"), "REVIEW", "NO GO")))</f>
        <v>NO GO</v>
      </c>
      <c r="AW8" s="21"/>
      <c r="AX8" s="81"/>
      <c r="AY8" s="84"/>
      <c r="AZ8" s="84"/>
      <c r="BA8" s="84"/>
      <c r="BB8" s="14"/>
    </row>
    <row r="9" spans="2:54" ht="9.9499999999999993" hidden="1" customHeight="1" x14ac:dyDescent="0.25">
      <c r="B9" s="1"/>
      <c r="C9" s="1"/>
      <c r="D9" s="34"/>
      <c r="E9" s="37"/>
      <c r="F9" s="37"/>
      <c r="G9" s="37"/>
      <c r="H9" s="37"/>
      <c r="I9" s="37"/>
      <c r="J9" s="37"/>
      <c r="K9" s="17"/>
      <c r="L9" s="17">
        <f>YEAR(Mytable[[#This Row],[Submission
Date]])</f>
        <v>1900</v>
      </c>
      <c r="M9" s="17"/>
      <c r="N9" s="17"/>
      <c r="O9" s="34"/>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34"/>
      <c r="AU9" s="34" t="str">
        <f t="shared" si="0"/>
        <v>HIGH</v>
      </c>
      <c r="AV9" s="34" t="str">
        <f t="shared" si="1"/>
        <v>NO GO</v>
      </c>
      <c r="AW9" s="34"/>
      <c r="AX9" s="34"/>
      <c r="AY9" s="34"/>
      <c r="AZ9" s="34"/>
      <c r="BA9" s="34"/>
      <c r="BB9" s="1"/>
    </row>
    <row r="10" spans="2:54" s="13" customFormat="1" ht="20.100000000000001" customHeight="1" x14ac:dyDescent="0.25">
      <c r="B10" s="11"/>
      <c r="C10" s="12" cm="1">
        <f t="array" ref="C10:C31">_xlfn.SEQUENCE(COUNTA(D$10:D$1048576))</f>
        <v>1</v>
      </c>
      <c r="D10" s="29" t="s">
        <v>65</v>
      </c>
      <c r="E10" s="40" t="s">
        <v>82</v>
      </c>
      <c r="F10" s="40" t="s">
        <v>78</v>
      </c>
      <c r="G10" s="41">
        <v>1000000</v>
      </c>
      <c r="H10" s="42" t="str">
        <f>IF(G10&gt;=3000000,"Mega",IF(G10&gt;=2000000,"Large","Medium/Small"))</f>
        <v>Medium/Small</v>
      </c>
      <c r="I10" s="40" t="s">
        <v>70</v>
      </c>
      <c r="J10" s="40" t="s">
        <v>69</v>
      </c>
      <c r="K10" s="95">
        <v>44562</v>
      </c>
      <c r="L10" s="87">
        <f>Mytable[[#This Row],[Submission
Date]]</f>
        <v>44562</v>
      </c>
      <c r="M10" s="94" t="s">
        <v>140</v>
      </c>
      <c r="N10" s="29" t="str">
        <f>TEXT(Mytable[[#This Row],[Submission
Date]],"mmm")</f>
        <v>Jan</v>
      </c>
      <c r="O10" s="29">
        <v>1</v>
      </c>
      <c r="P10" s="12" t="s">
        <v>79</v>
      </c>
      <c r="Q10" s="12" t="s">
        <v>99</v>
      </c>
      <c r="R10" s="12" t="s">
        <v>100</v>
      </c>
      <c r="S10" s="12">
        <v>2</v>
      </c>
      <c r="T10" s="12">
        <v>5</v>
      </c>
      <c r="U10" s="12">
        <v>2</v>
      </c>
      <c r="V10" s="12">
        <v>2</v>
      </c>
      <c r="W10" s="12">
        <v>2</v>
      </c>
      <c r="X10" s="12">
        <v>2</v>
      </c>
      <c r="Y10" s="12">
        <v>2</v>
      </c>
      <c r="Z10" s="12">
        <v>2</v>
      </c>
      <c r="AA10" s="12">
        <v>2</v>
      </c>
      <c r="AB10" s="12">
        <v>5</v>
      </c>
      <c r="AC10" s="12">
        <v>2</v>
      </c>
      <c r="AD10" s="12">
        <v>4</v>
      </c>
      <c r="AE10" s="12">
        <v>0</v>
      </c>
      <c r="AF10" s="12">
        <v>0</v>
      </c>
      <c r="AG10" s="12">
        <v>1</v>
      </c>
      <c r="AH10" s="12">
        <v>2</v>
      </c>
      <c r="AI10" s="12">
        <v>2</v>
      </c>
      <c r="AJ10" s="12">
        <v>0</v>
      </c>
      <c r="AK10" s="12">
        <v>0</v>
      </c>
      <c r="AL10" s="12">
        <v>2</v>
      </c>
      <c r="AM10" s="12">
        <v>0</v>
      </c>
      <c r="AN10" s="12">
        <v>0</v>
      </c>
      <c r="AO10" s="12">
        <v>5</v>
      </c>
      <c r="AP10" s="12">
        <v>1</v>
      </c>
      <c r="AQ10" s="12">
        <v>3</v>
      </c>
      <c r="AR10" s="12">
        <v>1</v>
      </c>
      <c r="AS10" s="12">
        <v>2</v>
      </c>
      <c r="AT10" s="35">
        <f>SUM(S10:AS10)</f>
        <v>51</v>
      </c>
      <c r="AU10" s="35" t="str">
        <f t="shared" si="0"/>
        <v>HIGH</v>
      </c>
      <c r="AV10" s="35" t="str">
        <f t="shared" si="1"/>
        <v>NO GO</v>
      </c>
      <c r="AW10" s="38">
        <f t="shared" ref="AW10:AW31" si="2">_xlfn.LET(
_xlpm.Score,AT10,
_xlpm.Risk,AU10,
_xlpm.Base,IF(_xlpm.Score&gt;=101,0.75,IF(_xlpm.Score&gt;=81,0.6,IF(_xlpm.Score&gt;=60,0.45,IF(_xlpm.Score&gt;=40,0.3,0.15)))),
IF(_xlpm.Risk="HIGH",_xlpm.Base*0.6,
 IF(_xlpm.Risk="MEDIUM",_xlpm.Base*0.85,_xlpm.Base))
)</f>
        <v>0.18</v>
      </c>
      <c r="AX10" s="36" t="str">
        <f>IF(OR(Mytable[[#This Row],[Client
Reputation]]=0, Mytable[[#This Row],[Clear Drawings]]=0, AQ10=0, AR10=0, AS10=0, AU10="HIGH"), "NO GO", IF(OR(AT10&gt;=95, AU10="LOW"), "GO", IF(OR(AT10&gt;=75, AU10="MEDIUM"), "REVIEW", "NO GO")))</f>
        <v>NO GO</v>
      </c>
      <c r="AY10" s="131" t="s">
        <v>183</v>
      </c>
      <c r="AZ10" s="12"/>
      <c r="BA10" s="12"/>
      <c r="BB10" s="11"/>
    </row>
    <row r="11" spans="2:54" s="13" customFormat="1" ht="20.100000000000001" customHeight="1" x14ac:dyDescent="0.25">
      <c r="B11" s="11"/>
      <c r="C11" s="12">
        <v>2</v>
      </c>
      <c r="D11" s="29" t="s">
        <v>66</v>
      </c>
      <c r="E11" s="40" t="s">
        <v>93</v>
      </c>
      <c r="F11" s="40" t="s">
        <v>68</v>
      </c>
      <c r="G11" s="41">
        <v>2000000</v>
      </c>
      <c r="H11" s="42" t="str">
        <f t="shared" ref="H11:H31" si="3">IF(G11&gt;=3000000,"Mega",IF(G11&gt;=2000000,"Large","Medium/Small"))</f>
        <v>Large</v>
      </c>
      <c r="I11" s="40" t="s">
        <v>71</v>
      </c>
      <c r="J11" s="40" t="s">
        <v>76</v>
      </c>
      <c r="K11" s="95">
        <v>44563</v>
      </c>
      <c r="L11" s="87">
        <f>Mytable[[#This Row],[Submission
Date]]</f>
        <v>44563</v>
      </c>
      <c r="M11" s="94" t="s">
        <v>151</v>
      </c>
      <c r="N11" s="29" t="str">
        <f>TEXT(Mytable[[#This Row],[Submission
Date]],"mmm")</f>
        <v>Jan</v>
      </c>
      <c r="O11" s="29">
        <v>2</v>
      </c>
      <c r="P11" s="12" t="s">
        <v>79</v>
      </c>
      <c r="Q11" s="12" t="s">
        <v>99</v>
      </c>
      <c r="R11" s="12" t="s">
        <v>100</v>
      </c>
      <c r="S11" s="12">
        <v>5</v>
      </c>
      <c r="T11" s="12">
        <v>5</v>
      </c>
      <c r="U11" s="12">
        <v>5</v>
      </c>
      <c r="V11" s="12">
        <v>5</v>
      </c>
      <c r="W11" s="12">
        <v>5</v>
      </c>
      <c r="X11" s="12">
        <v>5</v>
      </c>
      <c r="Y11" s="12">
        <v>5</v>
      </c>
      <c r="Z11" s="12">
        <v>5</v>
      </c>
      <c r="AA11" s="12">
        <v>5</v>
      </c>
      <c r="AB11" s="12">
        <v>5</v>
      </c>
      <c r="AC11" s="12">
        <v>5</v>
      </c>
      <c r="AD11" s="12">
        <v>5</v>
      </c>
      <c r="AE11" s="12">
        <v>5</v>
      </c>
      <c r="AF11" s="12">
        <v>5</v>
      </c>
      <c r="AG11" s="12">
        <v>5</v>
      </c>
      <c r="AH11" s="12">
        <v>5</v>
      </c>
      <c r="AI11" s="12">
        <v>5</v>
      </c>
      <c r="AJ11" s="12">
        <v>5</v>
      </c>
      <c r="AK11" s="12">
        <v>5</v>
      </c>
      <c r="AL11" s="12">
        <v>5</v>
      </c>
      <c r="AM11" s="12">
        <v>5</v>
      </c>
      <c r="AN11" s="12">
        <v>5</v>
      </c>
      <c r="AO11" s="12">
        <v>5</v>
      </c>
      <c r="AP11" s="12">
        <v>5</v>
      </c>
      <c r="AQ11" s="12">
        <v>5</v>
      </c>
      <c r="AR11" s="12">
        <v>5</v>
      </c>
      <c r="AS11" s="12">
        <v>5</v>
      </c>
      <c r="AT11" s="36">
        <f t="shared" ref="AT11:AT31" si="4">SUM(S11:AS11)</f>
        <v>135</v>
      </c>
      <c r="AU11" s="35" t="str">
        <f t="shared" si="0"/>
        <v>LOW</v>
      </c>
      <c r="AV11" s="35" t="str">
        <f t="shared" si="1"/>
        <v>GO</v>
      </c>
      <c r="AW11" s="39">
        <f t="shared" si="2"/>
        <v>0.75</v>
      </c>
      <c r="AX11" s="36" t="str">
        <f>IF(OR(Mytable[[#This Row],[Client
Reputation]]=0, Mytable[[#This Row],[Clear Drawings]]=0, AQ11=0, AR11=0, AS11=0, AU11="HIGH"), "NO GO", IF(OR(AT11&gt;=95, AU11="LOW"), "GO", IF(OR(AT11&gt;=75, AU11="MEDIUM"), "REVIEW", "NO GO")))</f>
        <v>GO</v>
      </c>
      <c r="AY11" s="131" t="s">
        <v>178</v>
      </c>
      <c r="AZ11" s="12"/>
      <c r="BA11" s="12"/>
      <c r="BB11" s="11"/>
    </row>
    <row r="12" spans="2:54" s="13" customFormat="1" ht="20.100000000000001" customHeight="1" x14ac:dyDescent="0.25">
      <c r="B12" s="11"/>
      <c r="C12" s="12">
        <v>3</v>
      </c>
      <c r="D12" s="29" t="s">
        <v>82</v>
      </c>
      <c r="E12" s="40" t="s">
        <v>126</v>
      </c>
      <c r="F12" s="40" t="s">
        <v>67</v>
      </c>
      <c r="G12" s="41">
        <v>3000000</v>
      </c>
      <c r="H12" s="42" t="str">
        <f t="shared" si="3"/>
        <v>Mega</v>
      </c>
      <c r="I12" s="40" t="s">
        <v>72</v>
      </c>
      <c r="J12" s="40" t="s">
        <v>77</v>
      </c>
      <c r="K12" s="95">
        <v>44568</v>
      </c>
      <c r="L12" s="87">
        <f>Mytable[[#This Row],[Submission
Date]]</f>
        <v>44568</v>
      </c>
      <c r="M12" s="94" t="s">
        <v>141</v>
      </c>
      <c r="N12" s="29" t="str">
        <f>TEXT(Mytable[[#This Row],[Submission
Date]],"mmm")</f>
        <v>Jan</v>
      </c>
      <c r="O12" s="29">
        <v>3</v>
      </c>
      <c r="P12" s="12" t="s">
        <v>79</v>
      </c>
      <c r="Q12" s="12" t="s">
        <v>99</v>
      </c>
      <c r="R12" s="12" t="s">
        <v>100</v>
      </c>
      <c r="S12" s="12">
        <v>4</v>
      </c>
      <c r="T12" s="12">
        <v>1</v>
      </c>
      <c r="U12" s="12">
        <v>3</v>
      </c>
      <c r="V12" s="12">
        <v>0</v>
      </c>
      <c r="W12" s="12">
        <v>1</v>
      </c>
      <c r="X12" s="12">
        <v>4</v>
      </c>
      <c r="Y12" s="12">
        <v>1</v>
      </c>
      <c r="Z12" s="12">
        <v>3</v>
      </c>
      <c r="AA12" s="12">
        <v>0</v>
      </c>
      <c r="AB12" s="12">
        <v>1</v>
      </c>
      <c r="AC12" s="12">
        <v>4</v>
      </c>
      <c r="AD12" s="12">
        <v>1</v>
      </c>
      <c r="AE12" s="12">
        <v>3</v>
      </c>
      <c r="AF12" s="12">
        <v>0</v>
      </c>
      <c r="AG12" s="12">
        <v>1</v>
      </c>
      <c r="AH12" s="12">
        <v>4</v>
      </c>
      <c r="AI12" s="12">
        <v>1</v>
      </c>
      <c r="AJ12" s="12">
        <v>3</v>
      </c>
      <c r="AK12" s="12">
        <v>0</v>
      </c>
      <c r="AL12" s="12">
        <v>1</v>
      </c>
      <c r="AM12" s="12">
        <v>3</v>
      </c>
      <c r="AN12" s="12">
        <v>0</v>
      </c>
      <c r="AO12" s="12">
        <v>5</v>
      </c>
      <c r="AP12" s="12">
        <v>3</v>
      </c>
      <c r="AQ12" s="12">
        <v>4</v>
      </c>
      <c r="AR12" s="12">
        <v>1</v>
      </c>
      <c r="AS12" s="12">
        <v>2</v>
      </c>
      <c r="AT12" s="35">
        <f t="shared" si="4"/>
        <v>54</v>
      </c>
      <c r="AU12" s="35" t="str">
        <f t="shared" si="0"/>
        <v>HIGH</v>
      </c>
      <c r="AV12" s="35" t="str">
        <f t="shared" si="1"/>
        <v>NO GO</v>
      </c>
      <c r="AW12" s="38">
        <f t="shared" si="2"/>
        <v>0.18</v>
      </c>
      <c r="AX12" s="36" t="str">
        <f>IF(OR(Mytable[[#This Row],[Client
Reputation]]=0, Mytable[[#This Row],[Clear Drawings]]=0, AQ12=0, AR12=0, AS12=0, AU12="HIGH"), "NO GO", IF(OR(AT12&gt;=95, AU12="LOW"), "GO", IF(OR(AT12&gt;=75, AU12="MEDIUM"), "REVIEW", "NO GO")))</f>
        <v>NO GO</v>
      </c>
      <c r="AY12" s="131" t="s">
        <v>183</v>
      </c>
      <c r="AZ12" s="12"/>
      <c r="BA12" s="12"/>
      <c r="BB12" s="11"/>
    </row>
    <row r="13" spans="2:54" s="13" customFormat="1" ht="20.100000000000001" customHeight="1" x14ac:dyDescent="0.25">
      <c r="B13" s="11"/>
      <c r="C13" s="12">
        <v>4</v>
      </c>
      <c r="D13" s="29" t="s">
        <v>112</v>
      </c>
      <c r="E13" s="40" t="s">
        <v>127</v>
      </c>
      <c r="F13" s="40" t="s">
        <v>78</v>
      </c>
      <c r="G13" s="41">
        <v>3000000</v>
      </c>
      <c r="H13" s="42" t="str">
        <f t="shared" si="3"/>
        <v>Mega</v>
      </c>
      <c r="I13" s="40" t="s">
        <v>73</v>
      </c>
      <c r="J13" s="40" t="s">
        <v>77</v>
      </c>
      <c r="K13" s="95">
        <v>44948</v>
      </c>
      <c r="L13" s="87">
        <f>Mytable[[#This Row],[Submission
Date]]</f>
        <v>44948</v>
      </c>
      <c r="M13" s="94" t="s">
        <v>142</v>
      </c>
      <c r="N13" s="29" t="str">
        <f>TEXT(Mytable[[#This Row],[Submission
Date]],"mmm")</f>
        <v>Jan</v>
      </c>
      <c r="O13" s="29">
        <v>4</v>
      </c>
      <c r="P13" s="12" t="s">
        <v>81</v>
      </c>
      <c r="Q13" s="12" t="s">
        <v>99</v>
      </c>
      <c r="R13" s="12" t="s">
        <v>100</v>
      </c>
      <c r="S13" s="12">
        <v>2</v>
      </c>
      <c r="T13" s="12">
        <v>3</v>
      </c>
      <c r="U13" s="12">
        <v>1</v>
      </c>
      <c r="V13" s="12">
        <v>0</v>
      </c>
      <c r="W13" s="12">
        <v>3</v>
      </c>
      <c r="X13" s="12">
        <v>2</v>
      </c>
      <c r="Y13" s="12">
        <v>3</v>
      </c>
      <c r="Z13" s="12">
        <v>1</v>
      </c>
      <c r="AA13" s="12">
        <v>0</v>
      </c>
      <c r="AB13" s="12">
        <v>3</v>
      </c>
      <c r="AC13" s="12">
        <v>2</v>
      </c>
      <c r="AD13" s="12">
        <v>3</v>
      </c>
      <c r="AE13" s="12">
        <v>1</v>
      </c>
      <c r="AF13" s="12">
        <v>0</v>
      </c>
      <c r="AG13" s="12">
        <v>3</v>
      </c>
      <c r="AH13" s="12">
        <v>2</v>
      </c>
      <c r="AI13" s="12">
        <v>3</v>
      </c>
      <c r="AJ13" s="12">
        <v>1</v>
      </c>
      <c r="AK13" s="12">
        <v>0</v>
      </c>
      <c r="AL13" s="12">
        <v>3</v>
      </c>
      <c r="AM13" s="12">
        <v>1</v>
      </c>
      <c r="AN13" s="12">
        <v>0</v>
      </c>
      <c r="AO13" s="12">
        <v>2</v>
      </c>
      <c r="AP13" s="12">
        <v>5</v>
      </c>
      <c r="AQ13" s="12">
        <v>5</v>
      </c>
      <c r="AR13" s="12">
        <v>3</v>
      </c>
      <c r="AS13" s="12">
        <v>0</v>
      </c>
      <c r="AT13" s="36">
        <f t="shared" si="4"/>
        <v>52</v>
      </c>
      <c r="AU13" s="35" t="str">
        <f t="shared" si="0"/>
        <v>HIGH</v>
      </c>
      <c r="AV13" s="35" t="str">
        <f t="shared" si="1"/>
        <v>NO GO</v>
      </c>
      <c r="AW13" s="39">
        <f t="shared" si="2"/>
        <v>0.18</v>
      </c>
      <c r="AX13" s="36" t="str">
        <f>IF(OR(Mytable[[#This Row],[Client
Reputation]]=0, Mytable[[#This Row],[Clear Drawings]]=0, AQ13=0, AR13=0, AS13=0, AU13="HIGH"), "NO GO", IF(OR(AT13&gt;=95, AU13="LOW"), "GO", IF(OR(AT13&gt;=75, AU13="MEDIUM"), "REVIEW", "NO GO")))</f>
        <v>NO GO</v>
      </c>
      <c r="AY13" s="131" t="s">
        <v>183</v>
      </c>
      <c r="AZ13" s="12"/>
      <c r="BA13" s="12"/>
      <c r="BB13" s="11"/>
    </row>
    <row r="14" spans="2:54" s="13" customFormat="1" ht="20.100000000000001" customHeight="1" x14ac:dyDescent="0.25">
      <c r="B14" s="11"/>
      <c r="C14" s="12">
        <v>5</v>
      </c>
      <c r="D14" s="29" t="s">
        <v>206</v>
      </c>
      <c r="E14" s="40" t="s">
        <v>112</v>
      </c>
      <c r="F14" s="40" t="s">
        <v>78</v>
      </c>
      <c r="G14" s="41">
        <v>3000000</v>
      </c>
      <c r="H14" s="42" t="str">
        <f t="shared" si="3"/>
        <v>Mega</v>
      </c>
      <c r="I14" s="40" t="s">
        <v>74</v>
      </c>
      <c r="J14" s="40" t="s">
        <v>76</v>
      </c>
      <c r="K14" s="95">
        <v>44944</v>
      </c>
      <c r="L14" s="87">
        <f>Mytable[[#This Row],[Submission
Date]]</f>
        <v>44944</v>
      </c>
      <c r="M14" s="94" t="s">
        <v>143</v>
      </c>
      <c r="N14" s="29" t="str">
        <f>TEXT(Mytable[[#This Row],[Submission
Date]],"mmm")</f>
        <v>Jan</v>
      </c>
      <c r="O14" s="29">
        <v>5</v>
      </c>
      <c r="P14" s="12" t="s">
        <v>81</v>
      </c>
      <c r="Q14" s="12" t="s">
        <v>99</v>
      </c>
      <c r="R14" s="12" t="s">
        <v>100</v>
      </c>
      <c r="S14" s="12">
        <v>5</v>
      </c>
      <c r="T14" s="12">
        <v>4</v>
      </c>
      <c r="U14" s="12">
        <v>4</v>
      </c>
      <c r="V14" s="12">
        <v>5</v>
      </c>
      <c r="W14" s="12">
        <v>4</v>
      </c>
      <c r="X14" s="12">
        <v>5</v>
      </c>
      <c r="Y14" s="12">
        <v>4</v>
      </c>
      <c r="Z14" s="12">
        <v>4</v>
      </c>
      <c r="AA14" s="12">
        <v>5</v>
      </c>
      <c r="AB14" s="12">
        <v>4</v>
      </c>
      <c r="AC14" s="12">
        <v>5</v>
      </c>
      <c r="AD14" s="12">
        <v>4</v>
      </c>
      <c r="AE14" s="12">
        <v>4</v>
      </c>
      <c r="AF14" s="12">
        <v>5</v>
      </c>
      <c r="AG14" s="12">
        <v>4</v>
      </c>
      <c r="AH14" s="12">
        <v>5</v>
      </c>
      <c r="AI14" s="12">
        <v>4</v>
      </c>
      <c r="AJ14" s="12">
        <v>4</v>
      </c>
      <c r="AK14" s="12">
        <v>5</v>
      </c>
      <c r="AL14" s="12">
        <v>4</v>
      </c>
      <c r="AM14" s="12">
        <v>4</v>
      </c>
      <c r="AN14" s="12">
        <v>5</v>
      </c>
      <c r="AO14" s="12">
        <v>5</v>
      </c>
      <c r="AP14" s="12">
        <v>5</v>
      </c>
      <c r="AQ14" s="12">
        <v>5</v>
      </c>
      <c r="AR14" s="12">
        <v>2</v>
      </c>
      <c r="AS14" s="12">
        <v>4</v>
      </c>
      <c r="AT14" s="35">
        <f t="shared" si="4"/>
        <v>118</v>
      </c>
      <c r="AU14" s="35" t="str">
        <f t="shared" si="0"/>
        <v>LOW</v>
      </c>
      <c r="AV14" s="35" t="str">
        <f t="shared" si="1"/>
        <v>GO</v>
      </c>
      <c r="AW14" s="38">
        <f t="shared" si="2"/>
        <v>0.75</v>
      </c>
      <c r="AX14" s="36" t="str">
        <f>IF(OR(Mytable[[#This Row],[Client
Reputation]]=0, Mytable[[#This Row],[Clear Drawings]]=0, AQ14=0, AR14=0, AS14=0, AU14="HIGH"), "NO GO", IF(OR(AT14&gt;=95, AU14="LOW"), "GO", IF(OR(AT14&gt;=75, AU14="MEDIUM"), "REVIEW", "NO GO")))</f>
        <v>GO</v>
      </c>
      <c r="AY14" s="131" t="s">
        <v>180</v>
      </c>
      <c r="AZ14" s="12"/>
      <c r="BA14" s="12"/>
      <c r="BB14" s="11"/>
    </row>
    <row r="15" spans="2:54" s="13" customFormat="1" ht="20.100000000000001" customHeight="1" x14ac:dyDescent="0.25">
      <c r="B15" s="11"/>
      <c r="C15" s="12">
        <v>6</v>
      </c>
      <c r="D15" s="29" t="s">
        <v>125</v>
      </c>
      <c r="E15" s="40" t="s">
        <v>128</v>
      </c>
      <c r="F15" s="40" t="s">
        <v>78</v>
      </c>
      <c r="G15" s="41">
        <v>3000000</v>
      </c>
      <c r="H15" s="42" t="str">
        <f t="shared" si="3"/>
        <v>Mega</v>
      </c>
      <c r="I15" s="40" t="s">
        <v>75</v>
      </c>
      <c r="J15" s="40" t="s">
        <v>69</v>
      </c>
      <c r="K15" s="95">
        <v>44957</v>
      </c>
      <c r="L15" s="87">
        <f>Mytable[[#This Row],[Submission
Date]]</f>
        <v>44957</v>
      </c>
      <c r="M15" s="94" t="s">
        <v>144</v>
      </c>
      <c r="N15" s="29" t="str">
        <f>TEXT(Mytable[[#This Row],[Submission
Date]],"mmm")</f>
        <v>Jan</v>
      </c>
      <c r="O15" s="29">
        <v>6</v>
      </c>
      <c r="P15" s="12" t="s">
        <v>79</v>
      </c>
      <c r="Q15" s="12" t="s">
        <v>99</v>
      </c>
      <c r="R15" s="12" t="s">
        <v>100</v>
      </c>
      <c r="S15" s="12">
        <v>2</v>
      </c>
      <c r="T15" s="12">
        <v>3</v>
      </c>
      <c r="U15" s="12">
        <v>0</v>
      </c>
      <c r="V15" s="12">
        <v>3</v>
      </c>
      <c r="W15" s="12">
        <v>1</v>
      </c>
      <c r="X15" s="12">
        <v>2</v>
      </c>
      <c r="Y15" s="12">
        <v>3</v>
      </c>
      <c r="Z15" s="12">
        <v>0</v>
      </c>
      <c r="AA15" s="12">
        <v>3</v>
      </c>
      <c r="AB15" s="12">
        <v>1</v>
      </c>
      <c r="AC15" s="12">
        <v>2</v>
      </c>
      <c r="AD15" s="12">
        <v>3</v>
      </c>
      <c r="AE15" s="12">
        <v>0</v>
      </c>
      <c r="AF15" s="12">
        <v>3</v>
      </c>
      <c r="AG15" s="12">
        <v>1</v>
      </c>
      <c r="AH15" s="12">
        <v>2</v>
      </c>
      <c r="AI15" s="12">
        <v>3</v>
      </c>
      <c r="AJ15" s="12">
        <v>0</v>
      </c>
      <c r="AK15" s="12">
        <v>3</v>
      </c>
      <c r="AL15" s="12">
        <v>3</v>
      </c>
      <c r="AM15" s="12">
        <v>0</v>
      </c>
      <c r="AN15" s="12">
        <v>3</v>
      </c>
      <c r="AO15" s="12">
        <v>3</v>
      </c>
      <c r="AP15" s="12">
        <v>5</v>
      </c>
      <c r="AQ15" s="12">
        <v>5</v>
      </c>
      <c r="AR15" s="12">
        <v>5</v>
      </c>
      <c r="AS15" s="12">
        <v>5</v>
      </c>
      <c r="AT15" s="36">
        <f t="shared" si="4"/>
        <v>64</v>
      </c>
      <c r="AU15" s="35" t="str">
        <f t="shared" si="0"/>
        <v>MEDIUM</v>
      </c>
      <c r="AV15" s="35" t="str">
        <f t="shared" si="1"/>
        <v>REVIEW</v>
      </c>
      <c r="AW15" s="39">
        <f t="shared" si="2"/>
        <v>0.38250000000000001</v>
      </c>
      <c r="AX15" s="36" t="str">
        <f>IF(OR(Mytable[[#This Row],[Client
Reputation]]=0, Mytable[[#This Row],[Clear Drawings]]=0, AQ15=0, AR15=0, AS15=0, AU15="HIGH"), "NO GO", IF(OR(AT15&gt;=95, AU15="LOW"), "GO", IF(OR(AT15&gt;=75, AU15="MEDIUM"), "REVIEW", "NO GO")))</f>
        <v>REVIEW</v>
      </c>
      <c r="AY15" s="131" t="s">
        <v>178</v>
      </c>
      <c r="AZ15" s="12"/>
      <c r="BA15" s="12"/>
      <c r="BB15" s="11"/>
    </row>
    <row r="16" spans="2:54" s="13" customFormat="1" ht="20.100000000000001" customHeight="1" x14ac:dyDescent="0.25">
      <c r="B16" s="11"/>
      <c r="C16" s="12">
        <v>7</v>
      </c>
      <c r="D16" s="29" t="s">
        <v>114</v>
      </c>
      <c r="E16" s="40" t="s">
        <v>111</v>
      </c>
      <c r="F16" s="40" t="s">
        <v>68</v>
      </c>
      <c r="G16" s="41">
        <v>3000000</v>
      </c>
      <c r="H16" s="42" t="str">
        <f t="shared" si="3"/>
        <v>Mega</v>
      </c>
      <c r="I16" s="40" t="s">
        <v>75</v>
      </c>
      <c r="J16" s="40" t="s">
        <v>76</v>
      </c>
      <c r="K16" s="95">
        <v>45324</v>
      </c>
      <c r="L16" s="87">
        <f>Mytable[[#This Row],[Submission
Date]]</f>
        <v>45324</v>
      </c>
      <c r="M16" s="94" t="s">
        <v>145</v>
      </c>
      <c r="N16" s="29" t="str">
        <f>TEXT(Mytable[[#This Row],[Submission
Date]],"mmm")</f>
        <v>Feb</v>
      </c>
      <c r="O16" s="29">
        <v>7</v>
      </c>
      <c r="P16" s="12" t="s">
        <v>81</v>
      </c>
      <c r="Q16" s="12" t="s">
        <v>99</v>
      </c>
      <c r="R16" s="12" t="s">
        <v>100</v>
      </c>
      <c r="S16" s="12">
        <v>2</v>
      </c>
      <c r="T16" s="12">
        <v>2</v>
      </c>
      <c r="U16" s="12">
        <v>5</v>
      </c>
      <c r="V16" s="12">
        <v>2</v>
      </c>
      <c r="W16" s="12">
        <v>3</v>
      </c>
      <c r="X16" s="12">
        <v>2</v>
      </c>
      <c r="Y16" s="12">
        <v>2</v>
      </c>
      <c r="Z16" s="12">
        <v>5</v>
      </c>
      <c r="AA16" s="12">
        <v>2</v>
      </c>
      <c r="AB16" s="12">
        <v>3</v>
      </c>
      <c r="AC16" s="12">
        <v>2</v>
      </c>
      <c r="AD16" s="12">
        <v>2</v>
      </c>
      <c r="AE16" s="12">
        <v>5</v>
      </c>
      <c r="AF16" s="12">
        <v>2</v>
      </c>
      <c r="AG16" s="12">
        <v>3</v>
      </c>
      <c r="AH16" s="12">
        <v>2</v>
      </c>
      <c r="AI16" s="12">
        <v>2</v>
      </c>
      <c r="AJ16" s="12">
        <v>5</v>
      </c>
      <c r="AK16" s="12">
        <v>2</v>
      </c>
      <c r="AL16" s="12">
        <v>2</v>
      </c>
      <c r="AM16" s="12">
        <v>5</v>
      </c>
      <c r="AN16" s="12">
        <v>2</v>
      </c>
      <c r="AO16" s="12">
        <v>5</v>
      </c>
      <c r="AP16" s="12">
        <v>2</v>
      </c>
      <c r="AQ16" s="12">
        <v>5</v>
      </c>
      <c r="AR16" s="12">
        <v>4</v>
      </c>
      <c r="AS16" s="12">
        <v>2</v>
      </c>
      <c r="AT16" s="35">
        <f t="shared" si="4"/>
        <v>80</v>
      </c>
      <c r="AU16" s="35" t="str">
        <f t="shared" si="0"/>
        <v>MEDIUM</v>
      </c>
      <c r="AV16" s="35" t="str">
        <f t="shared" si="1"/>
        <v>GO</v>
      </c>
      <c r="AW16" s="38">
        <f t="shared" si="2"/>
        <v>0.38250000000000001</v>
      </c>
      <c r="AX16" s="36" t="str">
        <f>IF(OR(Mytable[[#This Row],[Client
Reputation]]=0, Mytable[[#This Row],[Clear Drawings]]=0, AQ16=0, AR16=0, AS16=0, AU16="HIGH"), "NO GO", IF(OR(AT16&gt;=95, AU16="LOW"), "GO", IF(OR(AT16&gt;=75, AU16="MEDIUM"), "REVIEW", "NO GO")))</f>
        <v>REVIEW</v>
      </c>
      <c r="AY16" s="131" t="s">
        <v>178</v>
      </c>
      <c r="AZ16" s="12"/>
      <c r="BA16" s="12"/>
      <c r="BB16" s="11"/>
    </row>
    <row r="17" spans="2:54" s="13" customFormat="1" ht="20.100000000000001" customHeight="1" x14ac:dyDescent="0.25">
      <c r="B17" s="11"/>
      <c r="C17" s="12">
        <v>8</v>
      </c>
      <c r="D17" s="29" t="s">
        <v>91</v>
      </c>
      <c r="E17" s="40" t="s">
        <v>114</v>
      </c>
      <c r="F17" s="40" t="s">
        <v>68</v>
      </c>
      <c r="G17" s="41">
        <v>6540000</v>
      </c>
      <c r="H17" s="42" t="str">
        <f t="shared" si="3"/>
        <v>Mega</v>
      </c>
      <c r="I17" s="40" t="s">
        <v>75</v>
      </c>
      <c r="J17" s="40" t="s">
        <v>69</v>
      </c>
      <c r="K17" s="95">
        <v>45328</v>
      </c>
      <c r="L17" s="87">
        <f>Mytable[[#This Row],[Submission
Date]]</f>
        <v>45328</v>
      </c>
      <c r="M17" s="94" t="s">
        <v>146</v>
      </c>
      <c r="N17" s="29" t="str">
        <f>TEXT(Mytable[[#This Row],[Submission
Date]],"mmm")</f>
        <v>Feb</v>
      </c>
      <c r="O17" s="29">
        <v>8</v>
      </c>
      <c r="P17" s="12" t="s">
        <v>81</v>
      </c>
      <c r="Q17" s="12" t="s">
        <v>99</v>
      </c>
      <c r="R17" s="12" t="s">
        <v>100</v>
      </c>
      <c r="S17" s="12">
        <v>4</v>
      </c>
      <c r="T17" s="12">
        <v>4</v>
      </c>
      <c r="U17" s="12">
        <v>1</v>
      </c>
      <c r="V17" s="12">
        <v>0</v>
      </c>
      <c r="W17" s="12">
        <v>1</v>
      </c>
      <c r="X17" s="12">
        <v>4</v>
      </c>
      <c r="Y17" s="12">
        <v>4</v>
      </c>
      <c r="Z17" s="12">
        <v>1</v>
      </c>
      <c r="AA17" s="12">
        <v>0</v>
      </c>
      <c r="AB17" s="12">
        <v>1</v>
      </c>
      <c r="AC17" s="12">
        <v>4</v>
      </c>
      <c r="AD17" s="12">
        <v>4</v>
      </c>
      <c r="AE17" s="12">
        <v>1</v>
      </c>
      <c r="AF17" s="12">
        <v>0</v>
      </c>
      <c r="AG17" s="12">
        <v>1</v>
      </c>
      <c r="AH17" s="12">
        <v>4</v>
      </c>
      <c r="AI17" s="12">
        <v>4</v>
      </c>
      <c r="AJ17" s="12">
        <v>1</v>
      </c>
      <c r="AK17" s="12">
        <v>0</v>
      </c>
      <c r="AL17" s="12">
        <v>4</v>
      </c>
      <c r="AM17" s="12">
        <v>1</v>
      </c>
      <c r="AN17" s="12">
        <v>0</v>
      </c>
      <c r="AO17" s="12">
        <v>5</v>
      </c>
      <c r="AP17" s="12">
        <v>5</v>
      </c>
      <c r="AQ17" s="12">
        <v>1</v>
      </c>
      <c r="AR17" s="12">
        <v>5</v>
      </c>
      <c r="AS17" s="12">
        <v>2</v>
      </c>
      <c r="AT17" s="36">
        <f t="shared" si="4"/>
        <v>62</v>
      </c>
      <c r="AU17" s="35" t="str">
        <f t="shared" si="0"/>
        <v>MEDIUM</v>
      </c>
      <c r="AV17" s="35" t="str">
        <f t="shared" si="1"/>
        <v>REVIEW</v>
      </c>
      <c r="AW17" s="39">
        <f t="shared" si="2"/>
        <v>0.38250000000000001</v>
      </c>
      <c r="AX17" s="36" t="str">
        <f>IF(OR(Mytable[[#This Row],[Client
Reputation]]=0, Mytable[[#This Row],[Clear Drawings]]=0, AQ17=0, AR17=0, AS17=0, AU17="HIGH"), "NO GO", IF(OR(AT17&gt;=95, AU17="LOW"), "GO", IF(OR(AT17&gt;=75, AU17="MEDIUM"), "REVIEW", "NO GO")))</f>
        <v>REVIEW</v>
      </c>
      <c r="AY17" s="131" t="s">
        <v>179</v>
      </c>
      <c r="AZ17" s="12"/>
      <c r="BA17" s="12"/>
      <c r="BB17" s="11"/>
    </row>
    <row r="18" spans="2:54" s="13" customFormat="1" ht="20.100000000000001" customHeight="1" x14ac:dyDescent="0.25">
      <c r="B18" s="11"/>
      <c r="C18" s="12">
        <v>9</v>
      </c>
      <c r="D18" s="29" t="s">
        <v>207</v>
      </c>
      <c r="E18" s="40" t="s">
        <v>92</v>
      </c>
      <c r="F18" s="40" t="s">
        <v>68</v>
      </c>
      <c r="G18" s="41">
        <v>800000</v>
      </c>
      <c r="H18" s="42" t="str">
        <f t="shared" si="3"/>
        <v>Medium/Small</v>
      </c>
      <c r="I18" s="40" t="s">
        <v>75</v>
      </c>
      <c r="J18" s="40" t="s">
        <v>77</v>
      </c>
      <c r="K18" s="95">
        <v>45332</v>
      </c>
      <c r="L18" s="87">
        <f>Mytable[[#This Row],[Submission
Date]]</f>
        <v>45332</v>
      </c>
      <c r="M18" s="94" t="s">
        <v>147</v>
      </c>
      <c r="N18" s="29" t="str">
        <f>TEXT(Mytable[[#This Row],[Submission
Date]],"mmm")</f>
        <v>Feb</v>
      </c>
      <c r="O18" s="29">
        <v>9</v>
      </c>
      <c r="P18" s="12" t="s">
        <v>79</v>
      </c>
      <c r="Q18" s="12" t="s">
        <v>99</v>
      </c>
      <c r="R18" s="12" t="s">
        <v>100</v>
      </c>
      <c r="S18" s="12">
        <v>3</v>
      </c>
      <c r="T18" s="12">
        <v>3</v>
      </c>
      <c r="U18" s="12">
        <v>5</v>
      </c>
      <c r="V18" s="12">
        <v>4</v>
      </c>
      <c r="W18" s="12">
        <v>3</v>
      </c>
      <c r="X18" s="12">
        <v>3</v>
      </c>
      <c r="Y18" s="12">
        <v>3</v>
      </c>
      <c r="Z18" s="12">
        <v>5</v>
      </c>
      <c r="AA18" s="12">
        <v>4</v>
      </c>
      <c r="AB18" s="12">
        <v>3</v>
      </c>
      <c r="AC18" s="12">
        <v>3</v>
      </c>
      <c r="AD18" s="12">
        <v>3</v>
      </c>
      <c r="AE18" s="12">
        <v>5</v>
      </c>
      <c r="AF18" s="12">
        <v>4</v>
      </c>
      <c r="AG18" s="12">
        <v>3</v>
      </c>
      <c r="AH18" s="12">
        <v>5</v>
      </c>
      <c r="AI18" s="12">
        <v>5</v>
      </c>
      <c r="AJ18" s="12">
        <v>5</v>
      </c>
      <c r="AK18" s="12">
        <v>4</v>
      </c>
      <c r="AL18" s="12">
        <v>3</v>
      </c>
      <c r="AM18" s="12">
        <v>5</v>
      </c>
      <c r="AN18" s="12">
        <v>5</v>
      </c>
      <c r="AO18" s="12">
        <v>5</v>
      </c>
      <c r="AP18" s="12">
        <v>5</v>
      </c>
      <c r="AQ18" s="12">
        <v>5</v>
      </c>
      <c r="AR18" s="12">
        <v>0</v>
      </c>
      <c r="AS18" s="12">
        <v>5</v>
      </c>
      <c r="AT18" s="35">
        <f t="shared" si="4"/>
        <v>106</v>
      </c>
      <c r="AU18" s="35" t="str">
        <f t="shared" si="0"/>
        <v>LOW</v>
      </c>
      <c r="AV18" s="35" t="str">
        <f t="shared" si="1"/>
        <v>GO</v>
      </c>
      <c r="AW18" s="38">
        <f t="shared" si="2"/>
        <v>0.75</v>
      </c>
      <c r="AX18" s="36" t="str">
        <f>IF(OR(Mytable[[#This Row],[Client
Reputation]]=0, Mytable[[#This Row],[Clear Drawings]]=0, AQ18=0, AR18=0, AS18=0, AU18="HIGH"), "NO GO", IF(OR(AT18&gt;=95, AU18="LOW"), "GO", IF(OR(AT18&gt;=75, AU18="MEDIUM"), "REVIEW", "NO GO")))</f>
        <v>NO GO</v>
      </c>
      <c r="AY18" s="131" t="s">
        <v>180</v>
      </c>
      <c r="AZ18" s="12"/>
      <c r="BA18" s="12"/>
      <c r="BB18" s="11"/>
    </row>
    <row r="19" spans="2:54" s="13" customFormat="1" ht="20.100000000000001" customHeight="1" x14ac:dyDescent="0.25">
      <c r="B19" s="11"/>
      <c r="C19" s="12">
        <v>10</v>
      </c>
      <c r="D19" s="29" t="s">
        <v>92</v>
      </c>
      <c r="E19" s="40" t="s">
        <v>125</v>
      </c>
      <c r="F19" s="40" t="s">
        <v>68</v>
      </c>
      <c r="G19" s="41">
        <v>6464000</v>
      </c>
      <c r="H19" s="42" t="str">
        <f t="shared" si="3"/>
        <v>Mega</v>
      </c>
      <c r="I19" s="40" t="s">
        <v>75</v>
      </c>
      <c r="J19" s="40" t="s">
        <v>77</v>
      </c>
      <c r="K19" s="95">
        <v>45344</v>
      </c>
      <c r="L19" s="87">
        <f>Mytable[[#This Row],[Submission
Date]]</f>
        <v>45344</v>
      </c>
      <c r="M19" s="94" t="s">
        <v>148</v>
      </c>
      <c r="N19" s="29" t="str">
        <f>TEXT(Mytable[[#This Row],[Submission
Date]],"mmm")</f>
        <v>Feb</v>
      </c>
      <c r="O19" s="29">
        <v>10</v>
      </c>
      <c r="P19" s="12" t="s">
        <v>80</v>
      </c>
      <c r="Q19" s="12" t="s">
        <v>99</v>
      </c>
      <c r="R19" s="12" t="s">
        <v>100</v>
      </c>
      <c r="S19" s="12">
        <v>3</v>
      </c>
      <c r="T19" s="12">
        <v>1</v>
      </c>
      <c r="U19" s="12">
        <v>1</v>
      </c>
      <c r="V19" s="12">
        <v>5</v>
      </c>
      <c r="W19" s="12">
        <v>4</v>
      </c>
      <c r="X19" s="12">
        <v>3</v>
      </c>
      <c r="Y19" s="12">
        <v>1</v>
      </c>
      <c r="Z19" s="12">
        <v>1</v>
      </c>
      <c r="AA19" s="12">
        <v>5</v>
      </c>
      <c r="AB19" s="12">
        <v>4</v>
      </c>
      <c r="AC19" s="12">
        <v>3</v>
      </c>
      <c r="AD19" s="12">
        <v>1</v>
      </c>
      <c r="AE19" s="12">
        <v>1</v>
      </c>
      <c r="AF19" s="12">
        <v>5</v>
      </c>
      <c r="AG19" s="12">
        <v>4</v>
      </c>
      <c r="AH19" s="12">
        <v>3</v>
      </c>
      <c r="AI19" s="12">
        <v>1</v>
      </c>
      <c r="AJ19" s="12">
        <v>1</v>
      </c>
      <c r="AK19" s="12">
        <v>5</v>
      </c>
      <c r="AL19" s="12">
        <v>1</v>
      </c>
      <c r="AM19" s="12">
        <v>1</v>
      </c>
      <c r="AN19" s="12">
        <v>1</v>
      </c>
      <c r="AO19" s="12">
        <v>5</v>
      </c>
      <c r="AP19" s="12">
        <v>5</v>
      </c>
      <c r="AQ19" s="12">
        <v>1</v>
      </c>
      <c r="AR19" s="12">
        <v>4</v>
      </c>
      <c r="AS19" s="12">
        <v>4</v>
      </c>
      <c r="AT19" s="36">
        <f t="shared" si="4"/>
        <v>74</v>
      </c>
      <c r="AU19" s="35" t="str">
        <f t="shared" si="0"/>
        <v>MEDIUM</v>
      </c>
      <c r="AV19" s="35" t="str">
        <f t="shared" si="1"/>
        <v>REVIEW</v>
      </c>
      <c r="AW19" s="39">
        <f t="shared" si="2"/>
        <v>0.38250000000000001</v>
      </c>
      <c r="AX19" s="36" t="str">
        <f>IF(OR(Mytable[[#This Row],[Client
Reputation]]=0, Mytable[[#This Row],[Clear Drawings]]=0, AQ19=0, AR19=0, AS19=0, AU19="HIGH"), "NO GO", IF(OR(AT19&gt;=95, AU19="LOW"), "GO", IF(OR(AT19&gt;=75, AU19="MEDIUM"), "REVIEW", "NO GO")))</f>
        <v>REVIEW</v>
      </c>
      <c r="AY19" s="131" t="s">
        <v>178</v>
      </c>
      <c r="AZ19" s="12"/>
      <c r="BA19" s="12"/>
      <c r="BB19" s="11"/>
    </row>
    <row r="20" spans="2:54" s="13" customFormat="1" ht="20.100000000000001" customHeight="1" x14ac:dyDescent="0.25">
      <c r="B20" s="11"/>
      <c r="C20" s="12">
        <v>11</v>
      </c>
      <c r="D20" s="29" t="s">
        <v>208</v>
      </c>
      <c r="E20" s="40" t="s">
        <v>129</v>
      </c>
      <c r="F20" s="40" t="s">
        <v>68</v>
      </c>
      <c r="G20" s="41">
        <v>6540000</v>
      </c>
      <c r="H20" s="42" t="str">
        <f t="shared" si="3"/>
        <v>Mega</v>
      </c>
      <c r="I20" s="40" t="s">
        <v>75</v>
      </c>
      <c r="J20" s="40" t="s">
        <v>76</v>
      </c>
      <c r="K20" s="95">
        <v>45763</v>
      </c>
      <c r="L20" s="87">
        <f>Mytable[[#This Row],[Submission
Date]]</f>
        <v>45763</v>
      </c>
      <c r="M20" s="94" t="s">
        <v>149</v>
      </c>
      <c r="N20" s="29" t="str">
        <f>TEXT(Mytable[[#This Row],[Submission
Date]],"mmm")</f>
        <v>Apr</v>
      </c>
      <c r="O20" s="29">
        <v>11</v>
      </c>
      <c r="P20" s="12" t="s">
        <v>80</v>
      </c>
      <c r="Q20" s="12" t="s">
        <v>99</v>
      </c>
      <c r="R20" s="12" t="s">
        <v>100</v>
      </c>
      <c r="S20" s="12">
        <v>2</v>
      </c>
      <c r="T20" s="12">
        <v>2</v>
      </c>
      <c r="U20" s="12">
        <v>4</v>
      </c>
      <c r="V20" s="12">
        <v>1</v>
      </c>
      <c r="W20" s="12">
        <v>4</v>
      </c>
      <c r="X20" s="12">
        <v>2</v>
      </c>
      <c r="Y20" s="12">
        <v>2</v>
      </c>
      <c r="Z20" s="12">
        <v>4</v>
      </c>
      <c r="AA20" s="12">
        <v>1</v>
      </c>
      <c r="AB20" s="12">
        <v>4</v>
      </c>
      <c r="AC20" s="12">
        <v>2</v>
      </c>
      <c r="AD20" s="12">
        <v>2</v>
      </c>
      <c r="AE20" s="12">
        <v>4</v>
      </c>
      <c r="AF20" s="12">
        <v>1</v>
      </c>
      <c r="AG20" s="12">
        <v>4</v>
      </c>
      <c r="AH20" s="12">
        <v>2</v>
      </c>
      <c r="AI20" s="12">
        <v>2</v>
      </c>
      <c r="AJ20" s="12">
        <v>4</v>
      </c>
      <c r="AK20" s="12">
        <v>5</v>
      </c>
      <c r="AL20" s="12">
        <v>5</v>
      </c>
      <c r="AM20" s="12">
        <v>4</v>
      </c>
      <c r="AN20" s="12">
        <v>5</v>
      </c>
      <c r="AO20" s="12">
        <v>3</v>
      </c>
      <c r="AP20" s="12">
        <v>5</v>
      </c>
      <c r="AQ20" s="12">
        <v>5</v>
      </c>
      <c r="AR20" s="12">
        <v>3</v>
      </c>
      <c r="AS20" s="12">
        <v>5</v>
      </c>
      <c r="AT20" s="35">
        <f t="shared" si="4"/>
        <v>87</v>
      </c>
      <c r="AU20" s="35" t="str">
        <f t="shared" si="0"/>
        <v>MEDIUM</v>
      </c>
      <c r="AV20" s="35" t="str">
        <f t="shared" si="1"/>
        <v>GO</v>
      </c>
      <c r="AW20" s="38">
        <f t="shared" si="2"/>
        <v>0.51</v>
      </c>
      <c r="AX20" s="36" t="str">
        <f>IF(OR(Mytable[[#This Row],[Client
Reputation]]=0, Mytable[[#This Row],[Clear Drawings]]=0, AQ20=0, AR20=0, AS20=0, AU20="HIGH"), "NO GO", IF(OR(AT20&gt;=95, AU20="LOW"), "GO", IF(OR(AT20&gt;=75, AU20="MEDIUM"), "REVIEW", "NO GO")))</f>
        <v>REVIEW</v>
      </c>
      <c r="AY20" s="131" t="s">
        <v>180</v>
      </c>
      <c r="AZ20" s="12"/>
      <c r="BA20" s="12"/>
      <c r="BB20" s="11"/>
    </row>
    <row r="21" spans="2:54" s="13" customFormat="1" ht="20.100000000000001" customHeight="1" x14ac:dyDescent="0.25">
      <c r="B21" s="11"/>
      <c r="C21" s="12">
        <v>12</v>
      </c>
      <c r="D21" s="29" t="s">
        <v>209</v>
      </c>
      <c r="E21" s="40" t="s">
        <v>130</v>
      </c>
      <c r="F21" s="40" t="s">
        <v>78</v>
      </c>
      <c r="G21" s="41">
        <v>900000</v>
      </c>
      <c r="H21" s="42" t="str">
        <f t="shared" si="3"/>
        <v>Medium/Small</v>
      </c>
      <c r="I21" s="40" t="s">
        <v>75</v>
      </c>
      <c r="J21" s="40" t="s">
        <v>77</v>
      </c>
      <c r="K21" s="95">
        <v>45718</v>
      </c>
      <c r="L21" s="87">
        <f>Mytable[[#This Row],[Submission
Date]]</f>
        <v>45718</v>
      </c>
      <c r="M21" s="94" t="s">
        <v>150</v>
      </c>
      <c r="N21" s="29" t="str">
        <f>TEXT(Mytable[[#This Row],[Submission
Date]],"mmm")</f>
        <v>Mar</v>
      </c>
      <c r="O21" s="29">
        <v>12</v>
      </c>
      <c r="P21" s="12" t="s">
        <v>80</v>
      </c>
      <c r="Q21" s="12" t="s">
        <v>99</v>
      </c>
      <c r="R21" s="12" t="s">
        <v>100</v>
      </c>
      <c r="S21" s="12">
        <v>0</v>
      </c>
      <c r="T21" s="12">
        <v>2</v>
      </c>
      <c r="U21" s="12">
        <v>5</v>
      </c>
      <c r="V21" s="12">
        <v>2</v>
      </c>
      <c r="W21" s="12">
        <v>0</v>
      </c>
      <c r="X21" s="12">
        <v>0</v>
      </c>
      <c r="Y21" s="12">
        <v>0</v>
      </c>
      <c r="Z21" s="12">
        <v>0</v>
      </c>
      <c r="AA21" s="12">
        <v>0</v>
      </c>
      <c r="AB21" s="12">
        <v>0</v>
      </c>
      <c r="AC21" s="12">
        <v>0</v>
      </c>
      <c r="AD21" s="12">
        <v>0</v>
      </c>
      <c r="AE21" s="12">
        <v>0</v>
      </c>
      <c r="AF21" s="12">
        <v>0</v>
      </c>
      <c r="AG21" s="12">
        <v>0</v>
      </c>
      <c r="AH21" s="12">
        <v>0</v>
      </c>
      <c r="AI21" s="12">
        <v>0</v>
      </c>
      <c r="AJ21" s="12">
        <v>0</v>
      </c>
      <c r="AK21" s="12">
        <v>0</v>
      </c>
      <c r="AL21" s="12">
        <v>0</v>
      </c>
      <c r="AM21" s="12">
        <v>0</v>
      </c>
      <c r="AN21" s="12">
        <v>0</v>
      </c>
      <c r="AO21" s="12">
        <v>0</v>
      </c>
      <c r="AP21" s="12">
        <v>5</v>
      </c>
      <c r="AQ21" s="12">
        <v>5</v>
      </c>
      <c r="AR21" s="12">
        <v>4</v>
      </c>
      <c r="AS21" s="12">
        <v>2</v>
      </c>
      <c r="AT21" s="36">
        <f t="shared" si="4"/>
        <v>25</v>
      </c>
      <c r="AU21" s="35" t="str">
        <f t="shared" si="0"/>
        <v>HIGH</v>
      </c>
      <c r="AV21" s="35" t="str">
        <f t="shared" si="1"/>
        <v>NO GO</v>
      </c>
      <c r="AW21" s="39">
        <f t="shared" si="2"/>
        <v>0.09</v>
      </c>
      <c r="AX21" s="36" t="str">
        <f>IF(OR(Mytable[[#This Row],[Client
Reputation]]=0, Mytable[[#This Row],[Clear Drawings]]=0, AQ21=0, AR21=0, AS21=0, AU21="HIGH"), "NO GO", IF(OR(AT21&gt;=95, AU21="LOW"), "GO", IF(OR(AT21&gt;=75, AU21="MEDIUM"), "REVIEW", "NO GO")))</f>
        <v>NO GO</v>
      </c>
      <c r="AY21" s="131" t="s">
        <v>183</v>
      </c>
      <c r="AZ21" s="12"/>
      <c r="BA21" s="12"/>
      <c r="BB21" s="11"/>
    </row>
    <row r="22" spans="2:54" s="13" customFormat="1" ht="20.100000000000001" customHeight="1" x14ac:dyDescent="0.25">
      <c r="B22" s="11"/>
      <c r="C22" s="12">
        <v>13</v>
      </c>
      <c r="D22" s="29" t="s">
        <v>210</v>
      </c>
      <c r="E22" s="40" t="s">
        <v>131</v>
      </c>
      <c r="F22" s="40" t="s">
        <v>78</v>
      </c>
      <c r="G22" s="41">
        <v>1000000</v>
      </c>
      <c r="H22" s="42" t="str">
        <f t="shared" si="3"/>
        <v>Medium/Small</v>
      </c>
      <c r="I22" s="40" t="s">
        <v>75</v>
      </c>
      <c r="J22" s="40" t="s">
        <v>77</v>
      </c>
      <c r="K22" s="95">
        <v>45938</v>
      </c>
      <c r="L22" s="87">
        <f>Mytable[[#This Row],[Submission
Date]]</f>
        <v>45938</v>
      </c>
      <c r="M22" s="94"/>
      <c r="N22" s="29" t="str">
        <f>TEXT(Mytable[[#This Row],[Submission
Date]],"mmm")</f>
        <v>Oct</v>
      </c>
      <c r="O22" s="29">
        <v>13</v>
      </c>
      <c r="P22" s="12" t="s">
        <v>81</v>
      </c>
      <c r="Q22" s="12" t="s">
        <v>99</v>
      </c>
      <c r="R22" s="12" t="s">
        <v>100</v>
      </c>
      <c r="S22" s="12">
        <v>4</v>
      </c>
      <c r="T22" s="12">
        <v>4</v>
      </c>
      <c r="U22" s="12">
        <v>1</v>
      </c>
      <c r="V22" s="12">
        <v>3</v>
      </c>
      <c r="W22" s="12">
        <v>1</v>
      </c>
      <c r="X22" s="12">
        <v>4</v>
      </c>
      <c r="Y22" s="12">
        <v>4</v>
      </c>
      <c r="Z22" s="12">
        <v>1</v>
      </c>
      <c r="AA22" s="12">
        <v>3</v>
      </c>
      <c r="AB22" s="12">
        <v>1</v>
      </c>
      <c r="AC22" s="12">
        <v>4</v>
      </c>
      <c r="AD22" s="12">
        <v>4</v>
      </c>
      <c r="AE22" s="12">
        <v>1</v>
      </c>
      <c r="AF22" s="12">
        <v>3</v>
      </c>
      <c r="AG22" s="12">
        <v>1</v>
      </c>
      <c r="AH22" s="12">
        <v>4</v>
      </c>
      <c r="AI22" s="12">
        <v>4</v>
      </c>
      <c r="AJ22" s="12">
        <v>1</v>
      </c>
      <c r="AK22" s="12">
        <v>3</v>
      </c>
      <c r="AL22" s="12">
        <v>4</v>
      </c>
      <c r="AM22" s="12">
        <v>1</v>
      </c>
      <c r="AN22" s="12">
        <v>3</v>
      </c>
      <c r="AO22" s="12">
        <v>5</v>
      </c>
      <c r="AP22" s="12">
        <v>2</v>
      </c>
      <c r="AQ22" s="12">
        <v>3</v>
      </c>
      <c r="AR22" s="12">
        <v>4</v>
      </c>
      <c r="AS22" s="12">
        <v>2</v>
      </c>
      <c r="AT22" s="35">
        <f t="shared" si="4"/>
        <v>75</v>
      </c>
      <c r="AU22" s="35" t="str">
        <f t="shared" si="0"/>
        <v>MEDIUM</v>
      </c>
      <c r="AV22" s="35" t="str">
        <f t="shared" si="1"/>
        <v>REVIEW</v>
      </c>
      <c r="AW22" s="38">
        <f t="shared" si="2"/>
        <v>0.38250000000000001</v>
      </c>
      <c r="AX22" s="36" t="str">
        <f>IF(OR(Mytable[[#This Row],[Client
Reputation]]=0, Mytable[[#This Row],[Clear Drawings]]=0, AQ22=0, AR22=0, AS22=0, AU22="HIGH"), "NO GO", IF(OR(AT22&gt;=95, AU22="LOW"), "GO", IF(OR(AT22&gt;=75, AU22="MEDIUM"), "REVIEW", "NO GO")))</f>
        <v>REVIEW</v>
      </c>
      <c r="AY22" s="131" t="s">
        <v>178</v>
      </c>
      <c r="AZ22" s="12"/>
      <c r="BA22" s="12"/>
      <c r="BB22" s="11"/>
    </row>
    <row r="23" spans="2:54" s="13" customFormat="1" ht="20.100000000000001" customHeight="1" x14ac:dyDescent="0.25">
      <c r="B23" s="11"/>
      <c r="C23" s="12">
        <v>14</v>
      </c>
      <c r="D23" s="29" t="s">
        <v>115</v>
      </c>
      <c r="E23" s="40" t="s">
        <v>115</v>
      </c>
      <c r="F23" s="40" t="s">
        <v>78</v>
      </c>
      <c r="G23" s="41">
        <v>3000000</v>
      </c>
      <c r="H23" s="42" t="str">
        <f t="shared" si="3"/>
        <v>Mega</v>
      </c>
      <c r="I23" s="40" t="s">
        <v>75</v>
      </c>
      <c r="J23" s="40" t="s">
        <v>69</v>
      </c>
      <c r="K23" s="95">
        <v>45973</v>
      </c>
      <c r="L23" s="87">
        <f>Mytable[[#This Row],[Submission
Date]]</f>
        <v>45973</v>
      </c>
      <c r="M23" s="94"/>
      <c r="N23" s="29" t="str">
        <f>TEXT(Mytable[[#This Row],[Submission
Date]],"mmm")</f>
        <v>Nov</v>
      </c>
      <c r="O23" s="29">
        <v>14</v>
      </c>
      <c r="P23" s="12" t="s">
        <v>81</v>
      </c>
      <c r="Q23" s="12" t="s">
        <v>99</v>
      </c>
      <c r="R23" s="12" t="s">
        <v>100</v>
      </c>
      <c r="S23" s="12">
        <v>2</v>
      </c>
      <c r="T23" s="12">
        <v>3</v>
      </c>
      <c r="U23" s="12">
        <v>1</v>
      </c>
      <c r="V23" s="12">
        <v>0</v>
      </c>
      <c r="W23" s="12">
        <v>3</v>
      </c>
      <c r="X23" s="12">
        <v>2</v>
      </c>
      <c r="Y23" s="12">
        <v>3</v>
      </c>
      <c r="Z23" s="12">
        <v>1</v>
      </c>
      <c r="AA23" s="12">
        <v>0</v>
      </c>
      <c r="AB23" s="12">
        <v>3</v>
      </c>
      <c r="AC23" s="12">
        <v>2</v>
      </c>
      <c r="AD23" s="12">
        <v>3</v>
      </c>
      <c r="AE23" s="12">
        <v>1</v>
      </c>
      <c r="AF23" s="12">
        <v>0</v>
      </c>
      <c r="AG23" s="12">
        <v>3</v>
      </c>
      <c r="AH23" s="12">
        <v>2</v>
      </c>
      <c r="AI23" s="12">
        <v>3</v>
      </c>
      <c r="AJ23" s="12">
        <v>1</v>
      </c>
      <c r="AK23" s="12">
        <v>0</v>
      </c>
      <c r="AL23" s="12">
        <v>3</v>
      </c>
      <c r="AM23" s="12">
        <v>1</v>
      </c>
      <c r="AN23" s="12">
        <v>0</v>
      </c>
      <c r="AO23" s="12">
        <v>2</v>
      </c>
      <c r="AP23" s="12">
        <v>5</v>
      </c>
      <c r="AQ23" s="12">
        <v>5</v>
      </c>
      <c r="AR23" s="12">
        <v>3</v>
      </c>
      <c r="AS23" s="12">
        <v>1</v>
      </c>
      <c r="AT23" s="36">
        <f t="shared" si="4"/>
        <v>53</v>
      </c>
      <c r="AU23" s="35" t="str">
        <f t="shared" si="0"/>
        <v>HIGH</v>
      </c>
      <c r="AV23" s="35" t="str">
        <f t="shared" si="1"/>
        <v>NO GO</v>
      </c>
      <c r="AW23" s="39">
        <f t="shared" si="2"/>
        <v>0.18</v>
      </c>
      <c r="AX23" s="36" t="str">
        <f>IF(OR(Mytable[[#This Row],[Client
Reputation]]=0, Mytable[[#This Row],[Clear Drawings]]=0, AQ23=0, AR23=0, AS23=0, AU23="HIGH"), "NO GO", IF(OR(AT23&gt;=95, AU23="LOW"), "GO", IF(OR(AT23&gt;=75, AU23="MEDIUM"), "REVIEW", "NO GO")))</f>
        <v>NO GO</v>
      </c>
      <c r="AY23" s="131" t="s">
        <v>183</v>
      </c>
      <c r="AZ23" s="12"/>
      <c r="BA23" s="12"/>
      <c r="BB23" s="11"/>
    </row>
    <row r="24" spans="2:54" s="13" customFormat="1" ht="20.100000000000001" customHeight="1" x14ac:dyDescent="0.25">
      <c r="B24" s="11"/>
      <c r="C24" s="12">
        <v>15</v>
      </c>
      <c r="D24" s="29" t="s">
        <v>132</v>
      </c>
      <c r="E24" s="40" t="s">
        <v>132</v>
      </c>
      <c r="F24" s="40" t="s">
        <v>67</v>
      </c>
      <c r="G24" s="41">
        <v>660000</v>
      </c>
      <c r="H24" s="42" t="str">
        <f t="shared" si="3"/>
        <v>Medium/Small</v>
      </c>
      <c r="I24" s="40" t="s">
        <v>75</v>
      </c>
      <c r="J24" s="40" t="s">
        <v>77</v>
      </c>
      <c r="K24" s="95">
        <v>46010</v>
      </c>
      <c r="L24" s="87">
        <f>Mytable[[#This Row],[Submission
Date]]</f>
        <v>46010</v>
      </c>
      <c r="M24" s="94"/>
      <c r="N24" s="29" t="str">
        <f>TEXT(Mytable[[#This Row],[Submission
Date]],"mmm")</f>
        <v>Dec</v>
      </c>
      <c r="O24" s="29">
        <v>15</v>
      </c>
      <c r="P24" s="12" t="s">
        <v>80</v>
      </c>
      <c r="Q24" s="12" t="s">
        <v>99</v>
      </c>
      <c r="R24" s="12" t="s">
        <v>100</v>
      </c>
      <c r="S24" s="12">
        <v>3</v>
      </c>
      <c r="T24" s="12">
        <v>3</v>
      </c>
      <c r="U24" s="12">
        <v>4</v>
      </c>
      <c r="V24" s="12">
        <v>1</v>
      </c>
      <c r="W24" s="12">
        <v>4</v>
      </c>
      <c r="X24" s="12">
        <v>3</v>
      </c>
      <c r="Y24" s="12">
        <v>3</v>
      </c>
      <c r="Z24" s="12">
        <v>4</v>
      </c>
      <c r="AA24" s="12">
        <v>1</v>
      </c>
      <c r="AB24" s="12">
        <v>4</v>
      </c>
      <c r="AC24" s="12">
        <v>3</v>
      </c>
      <c r="AD24" s="12">
        <v>3</v>
      </c>
      <c r="AE24" s="12">
        <v>4</v>
      </c>
      <c r="AF24" s="12">
        <v>1</v>
      </c>
      <c r="AG24" s="12">
        <v>4</v>
      </c>
      <c r="AH24" s="12">
        <v>3</v>
      </c>
      <c r="AI24" s="12">
        <v>3</v>
      </c>
      <c r="AJ24" s="12">
        <v>4</v>
      </c>
      <c r="AK24" s="12">
        <v>1</v>
      </c>
      <c r="AL24" s="12">
        <v>3</v>
      </c>
      <c r="AM24" s="12">
        <v>4</v>
      </c>
      <c r="AN24" s="12">
        <v>1</v>
      </c>
      <c r="AO24" s="12">
        <v>5</v>
      </c>
      <c r="AP24" s="12">
        <v>5</v>
      </c>
      <c r="AQ24" s="12">
        <v>5</v>
      </c>
      <c r="AR24" s="12">
        <v>4</v>
      </c>
      <c r="AS24" s="12">
        <v>4</v>
      </c>
      <c r="AT24" s="35">
        <f t="shared" si="4"/>
        <v>87</v>
      </c>
      <c r="AU24" s="35" t="str">
        <f t="shared" si="0"/>
        <v>MEDIUM</v>
      </c>
      <c r="AV24" s="35" t="str">
        <f t="shared" si="1"/>
        <v>GO</v>
      </c>
      <c r="AW24" s="38">
        <f t="shared" si="2"/>
        <v>0.51</v>
      </c>
      <c r="AX24" s="36" t="str">
        <f>IF(OR(Mytable[[#This Row],[Client
Reputation]]=0, Mytable[[#This Row],[Clear Drawings]]=0, AQ24=0, AR24=0, AS24=0, AU24="HIGH"), "NO GO", IF(OR(AT24&gt;=95, AU24="LOW"), "GO", IF(OR(AT24&gt;=75, AU24="MEDIUM"), "REVIEW", "NO GO")))</f>
        <v>REVIEW</v>
      </c>
      <c r="AY24" s="131" t="s">
        <v>178</v>
      </c>
      <c r="AZ24" s="12"/>
      <c r="BA24" s="12"/>
      <c r="BB24" s="11"/>
    </row>
    <row r="25" spans="2:54" s="13" customFormat="1" ht="20.100000000000001" customHeight="1" x14ac:dyDescent="0.25">
      <c r="B25" s="11"/>
      <c r="C25" s="12">
        <v>16</v>
      </c>
      <c r="D25" s="29" t="s">
        <v>211</v>
      </c>
      <c r="E25" s="40" t="s">
        <v>133</v>
      </c>
      <c r="F25" s="40" t="s">
        <v>78</v>
      </c>
      <c r="G25" s="41">
        <v>800000</v>
      </c>
      <c r="H25" s="42" t="str">
        <f t="shared" si="3"/>
        <v>Medium/Small</v>
      </c>
      <c r="I25" s="40" t="s">
        <v>75</v>
      </c>
      <c r="J25" s="40" t="s">
        <v>77</v>
      </c>
      <c r="K25" s="95">
        <v>46036</v>
      </c>
      <c r="L25" s="87">
        <f>Mytable[[#This Row],[Submission
Date]]</f>
        <v>46036</v>
      </c>
      <c r="M25" s="94"/>
      <c r="N25" s="29" t="str">
        <f>TEXT(Mytable[[#This Row],[Submission
Date]],"mmm")</f>
        <v>Jan</v>
      </c>
      <c r="O25" s="29">
        <v>16</v>
      </c>
      <c r="P25" s="12" t="s">
        <v>81</v>
      </c>
      <c r="Q25" s="12" t="s">
        <v>99</v>
      </c>
      <c r="R25" s="12" t="s">
        <v>100</v>
      </c>
      <c r="S25" s="12">
        <v>2</v>
      </c>
      <c r="T25" s="12">
        <v>2</v>
      </c>
      <c r="U25" s="12">
        <v>4</v>
      </c>
      <c r="V25" s="12">
        <v>3</v>
      </c>
      <c r="W25" s="12">
        <v>1</v>
      </c>
      <c r="X25" s="12">
        <v>2</v>
      </c>
      <c r="Y25" s="12">
        <v>2</v>
      </c>
      <c r="Z25" s="12">
        <v>4</v>
      </c>
      <c r="AA25" s="12">
        <v>3</v>
      </c>
      <c r="AB25" s="12">
        <v>1</v>
      </c>
      <c r="AC25" s="12">
        <v>2</v>
      </c>
      <c r="AD25" s="12">
        <v>2</v>
      </c>
      <c r="AE25" s="12">
        <v>4</v>
      </c>
      <c r="AF25" s="12">
        <v>3</v>
      </c>
      <c r="AG25" s="12">
        <v>1</v>
      </c>
      <c r="AH25" s="12">
        <v>2</v>
      </c>
      <c r="AI25" s="12">
        <v>2</v>
      </c>
      <c r="AJ25" s="12">
        <v>4</v>
      </c>
      <c r="AK25" s="12">
        <v>3</v>
      </c>
      <c r="AL25" s="12">
        <v>2</v>
      </c>
      <c r="AM25" s="12">
        <v>4</v>
      </c>
      <c r="AN25" s="12">
        <v>3</v>
      </c>
      <c r="AO25" s="12">
        <v>4</v>
      </c>
      <c r="AP25" s="12">
        <v>1</v>
      </c>
      <c r="AQ25" s="12">
        <v>5</v>
      </c>
      <c r="AR25" s="12">
        <v>5</v>
      </c>
      <c r="AS25" s="12">
        <v>5</v>
      </c>
      <c r="AT25" s="36">
        <f t="shared" si="4"/>
        <v>76</v>
      </c>
      <c r="AU25" s="35" t="str">
        <f t="shared" si="0"/>
        <v>MEDIUM</v>
      </c>
      <c r="AV25" s="35" t="str">
        <f t="shared" si="1"/>
        <v>REVIEW</v>
      </c>
      <c r="AW25" s="39">
        <f t="shared" si="2"/>
        <v>0.38250000000000001</v>
      </c>
      <c r="AX25" s="36" t="str">
        <f>IF(OR(Mytable[[#This Row],[Client
Reputation]]=0, Mytable[[#This Row],[Clear Drawings]]=0, AQ25=0, AR25=0, AS25=0, AU25="HIGH"), "NO GO", IF(OR(AT25&gt;=95, AU25="LOW"), "GO", IF(OR(AT25&gt;=75, AU25="MEDIUM"), "REVIEW", "NO GO")))</f>
        <v>REVIEW</v>
      </c>
      <c r="AY25" s="131" t="s">
        <v>178</v>
      </c>
      <c r="AZ25" s="12"/>
      <c r="BA25" s="12"/>
      <c r="BB25" s="11"/>
    </row>
    <row r="26" spans="2:54" s="13" customFormat="1" ht="20.100000000000001" customHeight="1" x14ac:dyDescent="0.25">
      <c r="B26" s="11"/>
      <c r="C26" s="12">
        <v>17</v>
      </c>
      <c r="D26" s="29" t="s">
        <v>212</v>
      </c>
      <c r="E26" s="40" t="s">
        <v>134</v>
      </c>
      <c r="F26" s="40" t="s">
        <v>67</v>
      </c>
      <c r="G26" s="41">
        <v>2000000</v>
      </c>
      <c r="H26" s="42" t="str">
        <f t="shared" si="3"/>
        <v>Large</v>
      </c>
      <c r="I26" s="40" t="s">
        <v>75</v>
      </c>
      <c r="J26" s="40" t="s">
        <v>76</v>
      </c>
      <c r="K26" s="95">
        <v>46064</v>
      </c>
      <c r="L26" s="87">
        <f>Mytable[[#This Row],[Submission
Date]]</f>
        <v>46064</v>
      </c>
      <c r="M26" s="94"/>
      <c r="N26" s="29" t="str">
        <f>TEXT(Mytable[[#This Row],[Submission
Date]],"mmm")</f>
        <v>Feb</v>
      </c>
      <c r="O26" s="29">
        <v>17</v>
      </c>
      <c r="P26" s="12" t="s">
        <v>81</v>
      </c>
      <c r="Q26" s="12" t="s">
        <v>99</v>
      </c>
      <c r="R26" s="12" t="s">
        <v>100</v>
      </c>
      <c r="S26" s="12">
        <v>5</v>
      </c>
      <c r="T26" s="12">
        <v>2</v>
      </c>
      <c r="U26" s="12">
        <v>3</v>
      </c>
      <c r="V26" s="12">
        <v>2</v>
      </c>
      <c r="W26" s="12">
        <v>3</v>
      </c>
      <c r="X26" s="12">
        <v>5</v>
      </c>
      <c r="Y26" s="12">
        <v>2</v>
      </c>
      <c r="Z26" s="12">
        <v>3</v>
      </c>
      <c r="AA26" s="12">
        <v>2</v>
      </c>
      <c r="AB26" s="12">
        <v>3</v>
      </c>
      <c r="AC26" s="12">
        <v>5</v>
      </c>
      <c r="AD26" s="12">
        <v>2</v>
      </c>
      <c r="AE26" s="12">
        <v>3</v>
      </c>
      <c r="AF26" s="12">
        <v>2</v>
      </c>
      <c r="AG26" s="12">
        <v>3</v>
      </c>
      <c r="AH26" s="12">
        <v>5</v>
      </c>
      <c r="AI26" s="12">
        <v>2</v>
      </c>
      <c r="AJ26" s="12">
        <v>3</v>
      </c>
      <c r="AK26" s="12">
        <v>2</v>
      </c>
      <c r="AL26" s="12">
        <v>2</v>
      </c>
      <c r="AM26" s="12">
        <v>3</v>
      </c>
      <c r="AN26" s="12">
        <v>2</v>
      </c>
      <c r="AO26" s="12">
        <v>5</v>
      </c>
      <c r="AP26" s="12">
        <v>5</v>
      </c>
      <c r="AQ26" s="12">
        <v>5</v>
      </c>
      <c r="AR26" s="12">
        <v>4</v>
      </c>
      <c r="AS26" s="12">
        <v>2</v>
      </c>
      <c r="AT26" s="35">
        <f t="shared" si="4"/>
        <v>85</v>
      </c>
      <c r="AU26" s="35" t="str">
        <f t="shared" si="0"/>
        <v>MEDIUM</v>
      </c>
      <c r="AV26" s="35" t="str">
        <f t="shared" si="1"/>
        <v>GO</v>
      </c>
      <c r="AW26" s="38">
        <f t="shared" si="2"/>
        <v>0.51</v>
      </c>
      <c r="AX26" s="36" t="str">
        <f>IF(OR(Mytable[[#This Row],[Client
Reputation]]=0, Mytable[[#This Row],[Clear Drawings]]=0, AQ26=0, AR26=0, AS26=0, AU26="HIGH"), "NO GO", IF(OR(AT26&gt;=95, AU26="LOW"), "GO", IF(OR(AT26&gt;=75, AU26="MEDIUM"), "REVIEW", "NO GO")))</f>
        <v>REVIEW</v>
      </c>
      <c r="AY26" s="131" t="s">
        <v>178</v>
      </c>
      <c r="AZ26" s="12"/>
      <c r="BA26" s="12"/>
      <c r="BB26" s="11"/>
    </row>
    <row r="27" spans="2:54" s="13" customFormat="1" ht="20.100000000000001" customHeight="1" x14ac:dyDescent="0.25">
      <c r="B27" s="11"/>
      <c r="C27" s="12">
        <v>18</v>
      </c>
      <c r="D27" s="29" t="s">
        <v>213</v>
      </c>
      <c r="E27" s="40" t="s">
        <v>135</v>
      </c>
      <c r="F27" s="40" t="s">
        <v>67</v>
      </c>
      <c r="G27" s="41">
        <v>2000000</v>
      </c>
      <c r="H27" s="42" t="str">
        <f t="shared" si="3"/>
        <v>Large</v>
      </c>
      <c r="I27" s="40" t="s">
        <v>75</v>
      </c>
      <c r="J27" s="40" t="s">
        <v>77</v>
      </c>
      <c r="K27" s="95">
        <v>46148</v>
      </c>
      <c r="L27" s="87">
        <f>Mytable[[#This Row],[Submission
Date]]</f>
        <v>46148</v>
      </c>
      <c r="M27" s="94"/>
      <c r="N27" s="29" t="str">
        <f>TEXT(Mytable[[#This Row],[Submission
Date]],"mmm")</f>
        <v>May</v>
      </c>
      <c r="O27" s="29">
        <v>18</v>
      </c>
      <c r="P27" s="12" t="s">
        <v>79</v>
      </c>
      <c r="Q27" s="12" t="s">
        <v>99</v>
      </c>
      <c r="R27" s="12" t="s">
        <v>100</v>
      </c>
      <c r="S27" s="12">
        <v>4</v>
      </c>
      <c r="T27" s="12">
        <v>4</v>
      </c>
      <c r="U27" s="12">
        <v>5</v>
      </c>
      <c r="V27" s="12">
        <v>0</v>
      </c>
      <c r="W27" s="12">
        <v>1</v>
      </c>
      <c r="X27" s="12">
        <v>4</v>
      </c>
      <c r="Y27" s="12">
        <v>4</v>
      </c>
      <c r="Z27" s="12">
        <v>5</v>
      </c>
      <c r="AA27" s="12">
        <v>0</v>
      </c>
      <c r="AB27" s="12">
        <v>1</v>
      </c>
      <c r="AC27" s="12">
        <v>4</v>
      </c>
      <c r="AD27" s="12">
        <v>4</v>
      </c>
      <c r="AE27" s="12">
        <v>5</v>
      </c>
      <c r="AF27" s="12">
        <v>0</v>
      </c>
      <c r="AG27" s="12">
        <v>1</v>
      </c>
      <c r="AH27" s="12">
        <v>4</v>
      </c>
      <c r="AI27" s="12">
        <v>4</v>
      </c>
      <c r="AJ27" s="12">
        <v>5</v>
      </c>
      <c r="AK27" s="12">
        <v>0</v>
      </c>
      <c r="AL27" s="12">
        <v>4</v>
      </c>
      <c r="AM27" s="12">
        <v>5</v>
      </c>
      <c r="AN27" s="12">
        <v>0</v>
      </c>
      <c r="AO27" s="12">
        <v>5</v>
      </c>
      <c r="AP27" s="12">
        <v>5</v>
      </c>
      <c r="AQ27" s="12">
        <v>4</v>
      </c>
      <c r="AR27" s="12">
        <v>2</v>
      </c>
      <c r="AS27" s="12">
        <v>2</v>
      </c>
      <c r="AT27" s="36">
        <f t="shared" si="4"/>
        <v>82</v>
      </c>
      <c r="AU27" s="35" t="str">
        <f t="shared" si="0"/>
        <v>MEDIUM</v>
      </c>
      <c r="AV27" s="35" t="str">
        <f t="shared" si="1"/>
        <v>GO</v>
      </c>
      <c r="AW27" s="39">
        <f t="shared" si="2"/>
        <v>0.51</v>
      </c>
      <c r="AX27" s="36" t="str">
        <f>IF(OR(Mytable[[#This Row],[Client
Reputation]]=0, Mytable[[#This Row],[Clear Drawings]]=0, AQ27=0, AR27=0, AS27=0, AU27="HIGH"), "NO GO", IF(OR(AT27&gt;=95, AU27="LOW"), "GO", IF(OR(AT27&gt;=75, AU27="MEDIUM"), "REVIEW", "NO GO")))</f>
        <v>REVIEW</v>
      </c>
      <c r="AY27" s="131" t="s">
        <v>179</v>
      </c>
      <c r="AZ27" s="12"/>
      <c r="BA27" s="12"/>
      <c r="BB27" s="11"/>
    </row>
    <row r="28" spans="2:54" s="13" customFormat="1" ht="20.100000000000001" customHeight="1" x14ac:dyDescent="0.25">
      <c r="B28" s="11"/>
      <c r="C28" s="12">
        <v>19</v>
      </c>
      <c r="D28" s="29" t="s">
        <v>137</v>
      </c>
      <c r="E28" s="40" t="s">
        <v>136</v>
      </c>
      <c r="F28" s="40" t="s">
        <v>67</v>
      </c>
      <c r="G28" s="41">
        <v>9000000</v>
      </c>
      <c r="H28" s="42" t="str">
        <f t="shared" si="3"/>
        <v>Mega</v>
      </c>
      <c r="I28" s="40" t="s">
        <v>75</v>
      </c>
      <c r="J28" s="40" t="s">
        <v>69</v>
      </c>
      <c r="K28" s="95">
        <v>46183</v>
      </c>
      <c r="L28" s="87">
        <f>Mytable[[#This Row],[Submission
Date]]</f>
        <v>46183</v>
      </c>
      <c r="M28" s="94"/>
      <c r="N28" s="29" t="str">
        <f>TEXT(Mytable[[#This Row],[Submission
Date]],"mmm")</f>
        <v>Jun</v>
      </c>
      <c r="O28" s="29">
        <v>19</v>
      </c>
      <c r="P28" s="12" t="s">
        <v>81</v>
      </c>
      <c r="Q28" s="12" t="s">
        <v>99</v>
      </c>
      <c r="R28" s="12" t="s">
        <v>100</v>
      </c>
      <c r="S28" s="12">
        <v>2</v>
      </c>
      <c r="T28" s="12">
        <v>3</v>
      </c>
      <c r="U28" s="12">
        <v>1</v>
      </c>
      <c r="V28" s="12">
        <v>0</v>
      </c>
      <c r="W28" s="12">
        <v>2</v>
      </c>
      <c r="X28" s="12">
        <v>2</v>
      </c>
      <c r="Y28" s="12">
        <v>3</v>
      </c>
      <c r="Z28" s="12">
        <v>1</v>
      </c>
      <c r="AA28" s="12">
        <v>0</v>
      </c>
      <c r="AB28" s="12">
        <v>2</v>
      </c>
      <c r="AC28" s="12">
        <v>2</v>
      </c>
      <c r="AD28" s="12">
        <v>3</v>
      </c>
      <c r="AE28" s="12">
        <v>1</v>
      </c>
      <c r="AF28" s="12">
        <v>0</v>
      </c>
      <c r="AG28" s="12">
        <v>2</v>
      </c>
      <c r="AH28" s="12">
        <v>2</v>
      </c>
      <c r="AI28" s="12">
        <v>3</v>
      </c>
      <c r="AJ28" s="12">
        <v>1</v>
      </c>
      <c r="AK28" s="12">
        <v>0</v>
      </c>
      <c r="AL28" s="12">
        <v>3</v>
      </c>
      <c r="AM28" s="12">
        <v>1</v>
      </c>
      <c r="AN28" s="12">
        <v>0</v>
      </c>
      <c r="AO28" s="12">
        <v>3</v>
      </c>
      <c r="AP28" s="12">
        <v>5</v>
      </c>
      <c r="AQ28" s="12">
        <v>4</v>
      </c>
      <c r="AR28" s="12">
        <v>3</v>
      </c>
      <c r="AS28" s="12">
        <v>0</v>
      </c>
      <c r="AT28" s="35">
        <f t="shared" si="4"/>
        <v>49</v>
      </c>
      <c r="AU28" s="35" t="str">
        <f t="shared" si="0"/>
        <v>HIGH</v>
      </c>
      <c r="AV28" s="35" t="str">
        <f t="shared" si="1"/>
        <v>NO GO</v>
      </c>
      <c r="AW28" s="38">
        <f t="shared" si="2"/>
        <v>0.18</v>
      </c>
      <c r="AX28" s="36" t="str">
        <f>IF(OR(Mytable[[#This Row],[Client
Reputation]]=0, Mytable[[#This Row],[Clear Drawings]]=0, AQ28=0, AR28=0, AS28=0, AU28="HIGH"), "NO GO", IF(OR(AT28&gt;=95, AU28="LOW"), "GO", IF(OR(AT28&gt;=75, AU28="MEDIUM"), "REVIEW", "NO GO")))</f>
        <v>NO GO</v>
      </c>
      <c r="AY28" s="131" t="s">
        <v>183</v>
      </c>
      <c r="AZ28" s="12"/>
      <c r="BA28" s="12"/>
      <c r="BB28" s="11"/>
    </row>
    <row r="29" spans="2:54" s="13" customFormat="1" ht="20.100000000000001" customHeight="1" x14ac:dyDescent="0.25">
      <c r="B29" s="11"/>
      <c r="C29" s="12">
        <v>20</v>
      </c>
      <c r="D29" s="29" t="s">
        <v>113</v>
      </c>
      <c r="E29" s="40" t="s">
        <v>137</v>
      </c>
      <c r="F29" s="40" t="s">
        <v>67</v>
      </c>
      <c r="G29" s="41">
        <v>8000000</v>
      </c>
      <c r="H29" s="42" t="str">
        <f t="shared" si="3"/>
        <v>Mega</v>
      </c>
      <c r="I29" s="40" t="s">
        <v>75</v>
      </c>
      <c r="J29" s="40" t="s">
        <v>77</v>
      </c>
      <c r="K29" s="95">
        <v>46218</v>
      </c>
      <c r="L29" s="87">
        <f>Mytable[[#This Row],[Submission
Date]]</f>
        <v>46218</v>
      </c>
      <c r="M29" s="94"/>
      <c r="N29" s="29" t="str">
        <f>TEXT(Mytable[[#This Row],[Submission
Date]],"mmm")</f>
        <v>Jul</v>
      </c>
      <c r="O29" s="29">
        <v>20</v>
      </c>
      <c r="P29" s="12" t="s">
        <v>80</v>
      </c>
      <c r="Q29" s="12" t="s">
        <v>99</v>
      </c>
      <c r="R29" s="12" t="s">
        <v>100</v>
      </c>
      <c r="S29" s="12">
        <v>3</v>
      </c>
      <c r="T29" s="12">
        <v>0</v>
      </c>
      <c r="U29" s="12">
        <v>1</v>
      </c>
      <c r="V29" s="12">
        <v>5</v>
      </c>
      <c r="W29" s="12">
        <v>4</v>
      </c>
      <c r="X29" s="12">
        <v>3</v>
      </c>
      <c r="Y29" s="12">
        <v>0</v>
      </c>
      <c r="Z29" s="12">
        <v>1</v>
      </c>
      <c r="AA29" s="12">
        <v>5</v>
      </c>
      <c r="AB29" s="12">
        <v>4</v>
      </c>
      <c r="AC29" s="12">
        <v>3</v>
      </c>
      <c r="AD29" s="12">
        <v>0</v>
      </c>
      <c r="AE29" s="12">
        <v>1</v>
      </c>
      <c r="AF29" s="12">
        <v>5</v>
      </c>
      <c r="AG29" s="12">
        <v>4</v>
      </c>
      <c r="AH29" s="12">
        <v>3</v>
      </c>
      <c r="AI29" s="12">
        <v>0</v>
      </c>
      <c r="AJ29" s="12">
        <v>1</v>
      </c>
      <c r="AK29" s="12">
        <v>5</v>
      </c>
      <c r="AL29" s="12">
        <v>0</v>
      </c>
      <c r="AM29" s="12">
        <v>1</v>
      </c>
      <c r="AN29" s="12">
        <v>5</v>
      </c>
      <c r="AO29" s="12">
        <v>5</v>
      </c>
      <c r="AP29" s="12">
        <v>5</v>
      </c>
      <c r="AQ29" s="12">
        <v>2</v>
      </c>
      <c r="AR29" s="12">
        <v>4</v>
      </c>
      <c r="AS29" s="12">
        <v>4</v>
      </c>
      <c r="AT29" s="36">
        <f t="shared" si="4"/>
        <v>74</v>
      </c>
      <c r="AU29" s="35" t="str">
        <f t="shared" si="0"/>
        <v>MEDIUM</v>
      </c>
      <c r="AV29" s="35" t="str">
        <f t="shared" si="1"/>
        <v>REVIEW</v>
      </c>
      <c r="AW29" s="39">
        <f t="shared" si="2"/>
        <v>0.38250000000000001</v>
      </c>
      <c r="AX29" s="36" t="str">
        <f>IF(OR(Mytable[[#This Row],[Client
Reputation]]=0, Mytable[[#This Row],[Clear Drawings]]=0, AQ29=0, AR29=0, AS29=0, AU29="HIGH"), "NO GO", IF(OR(AT29&gt;=95, AU29="LOW"), "GO", IF(OR(AT29&gt;=75, AU29="MEDIUM"), "REVIEW", "NO GO")))</f>
        <v>REVIEW</v>
      </c>
      <c r="AY29" s="131" t="s">
        <v>180</v>
      </c>
      <c r="AZ29" s="12"/>
      <c r="BA29" s="12"/>
      <c r="BB29" s="11"/>
    </row>
    <row r="30" spans="2:54" s="13" customFormat="1" ht="20.100000000000001" customHeight="1" x14ac:dyDescent="0.25">
      <c r="B30" s="11"/>
      <c r="C30" s="12">
        <v>21</v>
      </c>
      <c r="D30" s="29" t="s">
        <v>214</v>
      </c>
      <c r="E30" s="40" t="s">
        <v>113</v>
      </c>
      <c r="F30" s="40" t="s">
        <v>67</v>
      </c>
      <c r="G30" s="41">
        <v>6500000</v>
      </c>
      <c r="H30" s="42" t="str">
        <f t="shared" si="3"/>
        <v>Mega</v>
      </c>
      <c r="I30" s="40" t="s">
        <v>75</v>
      </c>
      <c r="J30" s="40" t="s">
        <v>69</v>
      </c>
      <c r="K30" s="95">
        <v>46246</v>
      </c>
      <c r="L30" s="87">
        <f>Mytable[[#This Row],[Submission
Date]]</f>
        <v>46246</v>
      </c>
      <c r="M30" s="94"/>
      <c r="N30" s="29" t="str">
        <f>TEXT(Mytable[[#This Row],[Submission
Date]],"mmm")</f>
        <v>Aug</v>
      </c>
      <c r="O30" s="29">
        <v>21</v>
      </c>
      <c r="P30" s="12" t="s">
        <v>79</v>
      </c>
      <c r="Q30" s="12" t="s">
        <v>99</v>
      </c>
      <c r="R30" s="12" t="s">
        <v>100</v>
      </c>
      <c r="S30" s="12">
        <v>3</v>
      </c>
      <c r="T30" s="12">
        <v>2</v>
      </c>
      <c r="U30" s="12">
        <v>4</v>
      </c>
      <c r="V30" s="12">
        <v>3</v>
      </c>
      <c r="W30" s="12">
        <v>3</v>
      </c>
      <c r="X30" s="12">
        <v>3</v>
      </c>
      <c r="Y30" s="12">
        <v>2</v>
      </c>
      <c r="Z30" s="12">
        <v>4</v>
      </c>
      <c r="AA30" s="12">
        <v>3</v>
      </c>
      <c r="AB30" s="12">
        <v>3</v>
      </c>
      <c r="AC30" s="12">
        <v>3</v>
      </c>
      <c r="AD30" s="12">
        <v>2</v>
      </c>
      <c r="AE30" s="12">
        <v>4</v>
      </c>
      <c r="AF30" s="12">
        <v>3</v>
      </c>
      <c r="AG30" s="12">
        <v>3</v>
      </c>
      <c r="AH30" s="12">
        <v>3</v>
      </c>
      <c r="AI30" s="12">
        <v>2</v>
      </c>
      <c r="AJ30" s="12">
        <v>4</v>
      </c>
      <c r="AK30" s="12">
        <v>3</v>
      </c>
      <c r="AL30" s="12">
        <v>2</v>
      </c>
      <c r="AM30" s="12">
        <v>4</v>
      </c>
      <c r="AN30" s="12">
        <v>3</v>
      </c>
      <c r="AO30" s="12">
        <v>5</v>
      </c>
      <c r="AP30" s="12">
        <v>4</v>
      </c>
      <c r="AQ30" s="12">
        <v>5</v>
      </c>
      <c r="AR30" s="12">
        <v>5</v>
      </c>
      <c r="AS30" s="12">
        <v>5</v>
      </c>
      <c r="AT30" s="35">
        <f t="shared" si="4"/>
        <v>90</v>
      </c>
      <c r="AU30" s="35" t="str">
        <f t="shared" si="0"/>
        <v>LOW</v>
      </c>
      <c r="AV30" s="35" t="str">
        <f t="shared" si="1"/>
        <v>GO</v>
      </c>
      <c r="AW30" s="38">
        <f t="shared" si="2"/>
        <v>0.6</v>
      </c>
      <c r="AX30" s="36" t="str">
        <f>IF(OR(Mytable[[#This Row],[Client
Reputation]]=0, Mytable[[#This Row],[Clear Drawings]]=0, AQ30=0, AR30=0, AS30=0, AU30="HIGH"), "NO GO", IF(OR(AT30&gt;=95, AU30="LOW"), "GO", IF(OR(AT30&gt;=75, AU30="MEDIUM"), "REVIEW", "NO GO")))</f>
        <v>GO</v>
      </c>
      <c r="AY30" s="131" t="s">
        <v>178</v>
      </c>
      <c r="AZ30" s="12"/>
      <c r="BA30" s="12"/>
      <c r="BB30" s="11"/>
    </row>
    <row r="31" spans="2:54" s="13" customFormat="1" ht="20.100000000000001" customHeight="1" x14ac:dyDescent="0.25">
      <c r="B31" s="11"/>
      <c r="C31" s="12">
        <v>22</v>
      </c>
      <c r="D31" s="29" t="s">
        <v>93</v>
      </c>
      <c r="E31" s="40" t="s">
        <v>66</v>
      </c>
      <c r="F31" s="40" t="s">
        <v>67</v>
      </c>
      <c r="G31" s="41">
        <v>3000000</v>
      </c>
      <c r="H31" s="42" t="str">
        <f t="shared" si="3"/>
        <v>Mega</v>
      </c>
      <c r="I31" s="40" t="s">
        <v>75</v>
      </c>
      <c r="J31" s="40" t="s">
        <v>77</v>
      </c>
      <c r="K31" s="96">
        <v>46274</v>
      </c>
      <c r="L31" s="87">
        <f>Mytable[[#This Row],[Submission
Date]]</f>
        <v>46274</v>
      </c>
      <c r="M31" s="94"/>
      <c r="N31" s="29" t="str">
        <f>TEXT(Mytable[[#This Row],[Submission
Date]],"mmm")</f>
        <v>Sep</v>
      </c>
      <c r="O31" s="29">
        <v>22</v>
      </c>
      <c r="P31" s="29" t="s">
        <v>79</v>
      </c>
      <c r="Q31" s="29" t="s">
        <v>99</v>
      </c>
      <c r="R31" s="29" t="s">
        <v>100</v>
      </c>
      <c r="S31" s="29">
        <v>2</v>
      </c>
      <c r="T31" s="29">
        <v>4</v>
      </c>
      <c r="U31" s="29">
        <v>5</v>
      </c>
      <c r="V31" s="29">
        <v>2</v>
      </c>
      <c r="W31" s="29">
        <v>2</v>
      </c>
      <c r="X31" s="29">
        <v>2</v>
      </c>
      <c r="Y31" s="29">
        <v>4</v>
      </c>
      <c r="Z31" s="29">
        <v>5</v>
      </c>
      <c r="AA31" s="29">
        <v>2</v>
      </c>
      <c r="AB31" s="29">
        <v>2</v>
      </c>
      <c r="AC31" s="29">
        <v>2</v>
      </c>
      <c r="AD31" s="29">
        <v>4</v>
      </c>
      <c r="AE31" s="29">
        <v>5</v>
      </c>
      <c r="AF31" s="29">
        <v>2</v>
      </c>
      <c r="AG31" s="29">
        <v>2</v>
      </c>
      <c r="AH31" s="29">
        <v>2</v>
      </c>
      <c r="AI31" s="29">
        <v>4</v>
      </c>
      <c r="AJ31" s="29">
        <v>5</v>
      </c>
      <c r="AK31" s="29">
        <v>2</v>
      </c>
      <c r="AL31" s="29">
        <v>4</v>
      </c>
      <c r="AM31" s="29">
        <v>5</v>
      </c>
      <c r="AN31" s="29">
        <v>2</v>
      </c>
      <c r="AO31" s="29">
        <v>5</v>
      </c>
      <c r="AP31" s="29">
        <v>5</v>
      </c>
      <c r="AQ31" s="29">
        <v>3</v>
      </c>
      <c r="AR31" s="29">
        <v>4</v>
      </c>
      <c r="AS31" s="29">
        <v>2</v>
      </c>
      <c r="AT31" s="36">
        <f t="shared" si="4"/>
        <v>88</v>
      </c>
      <c r="AU31" s="35" t="str">
        <f t="shared" si="0"/>
        <v>MEDIUM</v>
      </c>
      <c r="AV31" s="35" t="str">
        <f t="shared" si="1"/>
        <v>GO</v>
      </c>
      <c r="AW31" s="39">
        <f t="shared" si="2"/>
        <v>0.51</v>
      </c>
      <c r="AX31" s="36" t="str">
        <f>IF(OR(Mytable[[#This Row],[Client
Reputation]]=0, Mytable[[#This Row],[Clear Drawings]]=0, AQ31=0, AR31=0, AS31=0, AU31="HIGH"), "NO GO", IF(OR(AT31&gt;=95, AU31="LOW"), "GO", IF(OR(AT31&gt;=75, AU31="MEDIUM"), "REVIEW", "NO GO")))</f>
        <v>REVIEW</v>
      </c>
      <c r="AY31" s="131" t="s">
        <v>179</v>
      </c>
      <c r="AZ31" s="29"/>
      <c r="BA31" s="29"/>
      <c r="BB31" s="11"/>
    </row>
    <row r="32" spans="2:54" s="13" customFormat="1" ht="20.100000000000001" customHeight="1" x14ac:dyDescent="0.25">
      <c r="B32" s="11"/>
      <c r="C32" s="11"/>
      <c r="D32" s="11"/>
      <c r="E32" s="11"/>
      <c r="F32" s="11"/>
      <c r="G32" s="11"/>
      <c r="H32" s="11"/>
      <c r="I32" s="11"/>
      <c r="J32" s="11"/>
      <c r="K32" s="18"/>
      <c r="L32" s="18"/>
      <c r="M32" s="18"/>
      <c r="N32" s="18"/>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2:54" s="13" customFormat="1" ht="20.100000000000001" customHeight="1" x14ac:dyDescent="0.25">
      <c r="B33" s="11"/>
      <c r="C33" s="11"/>
      <c r="D33" s="11"/>
      <c r="E33" s="11"/>
      <c r="F33" s="11"/>
      <c r="G33" s="11"/>
      <c r="H33" s="11"/>
      <c r="I33" s="11"/>
      <c r="J33" s="11"/>
      <c r="K33" s="18"/>
      <c r="L33" s="18"/>
      <c r="M33" s="18"/>
      <c r="N33" s="18"/>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2:54" s="13" customFormat="1" ht="20.100000000000001" customHeight="1" x14ac:dyDescent="0.25">
      <c r="B34" s="11"/>
      <c r="C34" s="11"/>
      <c r="D34" s="11"/>
      <c r="E34" s="11"/>
      <c r="F34" s="11"/>
      <c r="G34" s="11"/>
      <c r="H34" s="11"/>
      <c r="I34" s="11"/>
      <c r="J34" s="11"/>
      <c r="K34" s="18"/>
      <c r="L34" s="18"/>
      <c r="M34" s="18"/>
      <c r="N34" s="18"/>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row>
    <row r="35" spans="2:54" s="13" customFormat="1" ht="20.100000000000001" customHeight="1" x14ac:dyDescent="0.25">
      <c r="K35" s="19"/>
      <c r="L35" s="19"/>
      <c r="M35" s="19"/>
      <c r="N35" s="19"/>
    </row>
    <row r="36" spans="2:54" s="13" customFormat="1" ht="20.100000000000001" customHeight="1" x14ac:dyDescent="0.25">
      <c r="G36" s="79"/>
      <c r="K36" s="19"/>
      <c r="L36" s="19"/>
      <c r="M36" s="19"/>
      <c r="N36" s="19"/>
      <c r="AW36" s="78"/>
    </row>
    <row r="37" spans="2:54" s="13" customFormat="1" ht="20.100000000000001" customHeight="1" x14ac:dyDescent="0.25">
      <c r="K37" s="19"/>
      <c r="L37" s="19"/>
      <c r="M37" s="19"/>
      <c r="N37" s="19"/>
      <c r="AP37" s="32"/>
      <c r="AQ37" s="44"/>
    </row>
    <row r="38" spans="2:54" s="13" customFormat="1" ht="20.100000000000001" customHeight="1" x14ac:dyDescent="0.25">
      <c r="K38" s="19"/>
      <c r="L38" s="19"/>
      <c r="M38" s="19"/>
      <c r="N38" s="19"/>
    </row>
    <row r="39" spans="2:54" s="13" customFormat="1" ht="20.100000000000001" customHeight="1" x14ac:dyDescent="0.25">
      <c r="K39" s="19"/>
      <c r="L39" s="19"/>
      <c r="M39" s="19"/>
      <c r="N39" s="19"/>
    </row>
    <row r="40" spans="2:54" s="13" customFormat="1" ht="20.100000000000001" customHeight="1" x14ac:dyDescent="0.25">
      <c r="K40" s="19"/>
      <c r="L40" s="19"/>
      <c r="M40" s="19"/>
      <c r="N40" s="19"/>
    </row>
    <row r="41" spans="2:54" s="13" customFormat="1" ht="20.100000000000001" customHeight="1" x14ac:dyDescent="0.25">
      <c r="K41" s="19"/>
      <c r="L41" s="19"/>
      <c r="M41" s="19"/>
      <c r="N41" s="19"/>
    </row>
    <row r="42" spans="2:54" s="13" customFormat="1" ht="20.100000000000001" customHeight="1" x14ac:dyDescent="0.25">
      <c r="K42" s="19"/>
      <c r="L42" s="19"/>
      <c r="M42" s="19"/>
      <c r="N42" s="19"/>
    </row>
    <row r="43" spans="2:54" s="13" customFormat="1" ht="20.100000000000001" customHeight="1" x14ac:dyDescent="0.25">
      <c r="K43" s="19"/>
      <c r="L43" s="19"/>
      <c r="M43" s="19"/>
      <c r="N43" s="19"/>
    </row>
    <row r="44" spans="2:54" s="13" customFormat="1" ht="20.100000000000001" customHeight="1" x14ac:dyDescent="0.25">
      <c r="K44" s="19"/>
      <c r="L44" s="19"/>
      <c r="M44" s="19"/>
      <c r="N44" s="19"/>
    </row>
    <row r="45" spans="2:54" s="13" customFormat="1" ht="20.100000000000001" customHeight="1" x14ac:dyDescent="0.25">
      <c r="K45" s="19"/>
      <c r="L45" s="19"/>
      <c r="M45" s="19"/>
      <c r="N45" s="19"/>
    </row>
    <row r="46" spans="2:54" s="13" customFormat="1" ht="20.100000000000001" customHeight="1" x14ac:dyDescent="0.25">
      <c r="K46" s="19"/>
      <c r="L46" s="19"/>
      <c r="M46" s="19"/>
      <c r="N46" s="19"/>
    </row>
    <row r="47" spans="2:54" s="13" customFormat="1" ht="20.100000000000001" customHeight="1" x14ac:dyDescent="0.25">
      <c r="K47" s="19"/>
      <c r="L47" s="19"/>
      <c r="M47" s="19"/>
      <c r="N47" s="19"/>
    </row>
    <row r="48" spans="2:54" s="13" customFormat="1" ht="20.100000000000001" customHeight="1" x14ac:dyDescent="0.25">
      <c r="K48" s="19"/>
      <c r="L48" s="19"/>
      <c r="M48" s="19"/>
      <c r="N48" s="19"/>
    </row>
    <row r="49" spans="11:14" s="13" customFormat="1" ht="20.100000000000001" customHeight="1" x14ac:dyDescent="0.25">
      <c r="K49" s="19"/>
      <c r="L49" s="19"/>
      <c r="M49" s="19"/>
      <c r="N49" s="19"/>
    </row>
    <row r="50" spans="11:14" s="13" customFormat="1" ht="20.100000000000001" customHeight="1" x14ac:dyDescent="0.25">
      <c r="K50" s="19"/>
      <c r="L50" s="19"/>
      <c r="M50" s="19"/>
      <c r="N50" s="19"/>
    </row>
    <row r="51" spans="11:14" s="13" customFormat="1" ht="20.100000000000001" customHeight="1" x14ac:dyDescent="0.25">
      <c r="K51" s="19"/>
      <c r="L51" s="19"/>
      <c r="M51" s="19"/>
      <c r="N51" s="19"/>
    </row>
    <row r="52" spans="11:14" s="13" customFormat="1" ht="20.100000000000001" customHeight="1" x14ac:dyDescent="0.25">
      <c r="K52" s="19"/>
      <c r="L52" s="19"/>
      <c r="M52" s="19"/>
      <c r="N52" s="19"/>
    </row>
    <row r="53" spans="11:14" s="13" customFormat="1" ht="20.100000000000001" customHeight="1" x14ac:dyDescent="0.25">
      <c r="K53" s="19"/>
      <c r="L53" s="19"/>
      <c r="M53" s="19"/>
      <c r="N53" s="19"/>
    </row>
    <row r="54" spans="11:14" s="13" customFormat="1" ht="20.100000000000001" customHeight="1" x14ac:dyDescent="0.25">
      <c r="K54" s="19"/>
      <c r="L54" s="19"/>
      <c r="M54" s="19"/>
      <c r="N54" s="19"/>
    </row>
    <row r="55" spans="11:14" s="13" customFormat="1" ht="20.100000000000001" customHeight="1" x14ac:dyDescent="0.25">
      <c r="K55" s="19"/>
      <c r="L55" s="19"/>
      <c r="M55" s="19"/>
      <c r="N55" s="19"/>
    </row>
    <row r="56" spans="11:14" s="13" customFormat="1" ht="20.100000000000001" customHeight="1" x14ac:dyDescent="0.25">
      <c r="K56" s="19"/>
      <c r="L56" s="19"/>
      <c r="M56" s="19"/>
      <c r="N56" s="19"/>
    </row>
    <row r="57" spans="11:14" s="13" customFormat="1" ht="20.100000000000001" customHeight="1" x14ac:dyDescent="0.25">
      <c r="K57" s="19"/>
      <c r="L57" s="19"/>
      <c r="M57" s="19"/>
      <c r="N57" s="19"/>
    </row>
    <row r="58" spans="11:14" s="13" customFormat="1" ht="20.100000000000001" customHeight="1" x14ac:dyDescent="0.25">
      <c r="K58" s="19"/>
      <c r="L58" s="19"/>
      <c r="M58" s="19"/>
      <c r="N58" s="19"/>
    </row>
    <row r="59" spans="11:14" s="13" customFormat="1" ht="20.100000000000001" customHeight="1" x14ac:dyDescent="0.25">
      <c r="K59" s="19"/>
      <c r="L59" s="19"/>
      <c r="M59" s="19"/>
      <c r="N59" s="19"/>
    </row>
    <row r="60" spans="11:14" s="13" customFormat="1" ht="20.100000000000001" customHeight="1" x14ac:dyDescent="0.25">
      <c r="K60" s="19"/>
      <c r="L60" s="19"/>
      <c r="M60" s="19"/>
      <c r="N60" s="19"/>
    </row>
    <row r="61" spans="11:14" s="13" customFormat="1" ht="20.100000000000001" customHeight="1" x14ac:dyDescent="0.25">
      <c r="K61" s="19"/>
      <c r="L61" s="19"/>
      <c r="M61" s="19"/>
      <c r="N61" s="19"/>
    </row>
    <row r="62" spans="11:14" s="13" customFormat="1" ht="20.100000000000001" customHeight="1" x14ac:dyDescent="0.25">
      <c r="K62" s="19"/>
      <c r="L62" s="19"/>
      <c r="M62" s="19"/>
      <c r="N62" s="19"/>
    </row>
    <row r="63" spans="11:14" s="13" customFormat="1" ht="20.100000000000001" customHeight="1" x14ac:dyDescent="0.25">
      <c r="K63" s="19"/>
      <c r="L63" s="19"/>
      <c r="M63" s="19"/>
      <c r="N63" s="19"/>
    </row>
    <row r="64" spans="11:14" s="13" customFormat="1" ht="20.100000000000001" customHeight="1" x14ac:dyDescent="0.25">
      <c r="K64" s="19"/>
      <c r="L64" s="19"/>
      <c r="M64" s="19"/>
      <c r="N64" s="19"/>
    </row>
  </sheetData>
  <dataConsolidate/>
  <mergeCells count="13">
    <mergeCell ref="AY6:BA6"/>
    <mergeCell ref="AO6:AS6"/>
    <mergeCell ref="S6:AB6"/>
    <mergeCell ref="C6:J6"/>
    <mergeCell ref="C2:J4"/>
    <mergeCell ref="C7:C8"/>
    <mergeCell ref="K2:K4"/>
    <mergeCell ref="AH6:AK6"/>
    <mergeCell ref="AL6:AN6"/>
    <mergeCell ref="O2:R4"/>
    <mergeCell ref="O6:R6"/>
    <mergeCell ref="AC6:AG6"/>
    <mergeCell ref="N2:N4"/>
  </mergeCells>
  <phoneticPr fontId="11" type="noConversion"/>
  <conditionalFormatting sqref="S10:S31">
    <cfRule type="dataBar" priority="22">
      <dataBar>
        <cfvo type="min"/>
        <cfvo type="max"/>
        <color rgb="FFFF555A"/>
      </dataBar>
      <extLst>
        <ext xmlns:x14="http://schemas.microsoft.com/office/spreadsheetml/2009/9/main" uri="{B025F937-C7B1-47D3-B67F-A62EFF666E3E}">
          <x14:id>{A5B60B9A-8E85-4347-9E0B-6F8F6CF442D6}</x14:id>
        </ext>
      </extLst>
    </cfRule>
  </conditionalFormatting>
  <conditionalFormatting sqref="S10:AA31">
    <cfRule type="dataBar" priority="69">
      <dataBar>
        <cfvo type="min"/>
        <cfvo type="max"/>
        <color rgb="FF63C384"/>
      </dataBar>
      <extLst>
        <ext xmlns:x14="http://schemas.microsoft.com/office/spreadsheetml/2009/9/main" uri="{B025F937-C7B1-47D3-B67F-A62EFF666E3E}">
          <x14:id>{C0F1EE3A-235A-417C-B9D9-92B0239DE5BF}</x14:id>
        </ext>
      </extLst>
    </cfRule>
  </conditionalFormatting>
  <conditionalFormatting sqref="AB10:AB31">
    <cfRule type="dataBar" priority="31">
      <dataBar>
        <cfvo type="min"/>
        <cfvo type="max"/>
        <color rgb="FF008AEF"/>
      </dataBar>
      <extLst>
        <ext xmlns:x14="http://schemas.microsoft.com/office/spreadsheetml/2009/9/main" uri="{B025F937-C7B1-47D3-B67F-A62EFF666E3E}">
          <x14:id>{E57BE48B-495C-425A-AB08-52D0FB8024C5}</x14:id>
        </ext>
      </extLst>
    </cfRule>
  </conditionalFormatting>
  <conditionalFormatting sqref="AC10:AG31">
    <cfRule type="dataBar" priority="26">
      <dataBar>
        <cfvo type="min"/>
        <cfvo type="max"/>
        <color rgb="FFFFB628"/>
      </dataBar>
      <extLst>
        <ext xmlns:x14="http://schemas.microsoft.com/office/spreadsheetml/2009/9/main" uri="{B025F937-C7B1-47D3-B67F-A62EFF666E3E}">
          <x14:id>{9AADDEAA-264A-46B7-B7AA-DC32B17DE4C8}</x14:id>
        </ext>
      </extLst>
    </cfRule>
  </conditionalFormatting>
  <conditionalFormatting sqref="AH10:AK31">
    <cfRule type="dataBar" priority="19">
      <dataBar>
        <cfvo type="min"/>
        <cfvo type="max"/>
        <color rgb="FFFF555A"/>
      </dataBar>
      <extLst>
        <ext xmlns:x14="http://schemas.microsoft.com/office/spreadsheetml/2009/9/main" uri="{B025F937-C7B1-47D3-B67F-A62EFF666E3E}">
          <x14:id>{9EBF737E-0131-4746-8933-E6568B8223A5}</x14:id>
        </ext>
      </extLst>
    </cfRule>
  </conditionalFormatting>
  <conditionalFormatting sqref="AL10:AN31">
    <cfRule type="dataBar" priority="18">
      <dataBar>
        <cfvo type="min"/>
        <cfvo type="max"/>
        <color rgb="FF638EC6"/>
      </dataBar>
      <extLst>
        <ext xmlns:x14="http://schemas.microsoft.com/office/spreadsheetml/2009/9/main" uri="{B025F937-C7B1-47D3-B67F-A62EFF666E3E}">
          <x14:id>{2377FBA0-B566-4E10-BE2C-47956532CB55}</x14:id>
        </ext>
      </extLst>
    </cfRule>
  </conditionalFormatting>
  <conditionalFormatting sqref="AO10:AS31">
    <cfRule type="cellIs" dxfId="143" priority="47" operator="equal">
      <formula>3</formula>
    </cfRule>
    <cfRule type="cellIs" dxfId="142" priority="48" operator="between">
      <formula>4</formula>
      <formula>5</formula>
    </cfRule>
    <cfRule type="cellIs" dxfId="141" priority="49" operator="between">
      <formula>0</formula>
      <formula>2</formula>
    </cfRule>
  </conditionalFormatting>
  <conditionalFormatting sqref="AT10:AT31">
    <cfRule type="colorScale" priority="68">
      <colorScale>
        <cfvo type="min"/>
        <cfvo type="percentile" val="50"/>
        <cfvo type="max"/>
        <color rgb="FFF8696B"/>
        <color rgb="FFFFEB84"/>
        <color rgb="FF63BE7B"/>
      </colorScale>
    </cfRule>
  </conditionalFormatting>
  <conditionalFormatting sqref="AU10:AU31">
    <cfRule type="containsText" dxfId="140" priority="12" operator="containsText" text="LOW">
      <formula>NOT(ISERROR(SEARCH("LOW",AU10)))</formula>
    </cfRule>
    <cfRule type="containsText" dxfId="139" priority="13" operator="containsText" text="MEDIUM">
      <formula>NOT(ISERROR(SEARCH("MEDIUM",AU10)))</formula>
    </cfRule>
    <cfRule type="containsText" dxfId="138" priority="14" operator="containsText" text="HIGH">
      <formula>NOT(ISERROR(SEARCH("HIGH",AU10)))</formula>
    </cfRule>
  </conditionalFormatting>
  <conditionalFormatting sqref="AV10:AV31">
    <cfRule type="containsText" dxfId="137" priority="9" operator="containsText" text="REVIEW">
      <formula>NOT(ISERROR(SEARCH("REVIEW",AV10)))</formula>
    </cfRule>
    <cfRule type="cellIs" dxfId="136" priority="10" operator="equal">
      <formula>"NO GO"</formula>
    </cfRule>
    <cfRule type="cellIs" dxfId="135" priority="11" operator="equal">
      <formula>"GO"</formula>
    </cfRule>
  </conditionalFormatting>
  <conditionalFormatting sqref="AW10:AW31">
    <cfRule type="colorScale" priority="23">
      <colorScale>
        <cfvo type="min"/>
        <cfvo type="percentile" val="50"/>
        <cfvo type="max"/>
        <color rgb="FFF8696B"/>
        <color rgb="FFFFEB84"/>
        <color rgb="FF63BE7B"/>
      </colorScale>
    </cfRule>
  </conditionalFormatting>
  <conditionalFormatting sqref="AX10:AX31">
    <cfRule type="containsText" dxfId="134" priority="6" operator="containsText" text="REVIEW">
      <formula>NOT(ISERROR(SEARCH("REVIEW",AX10)))</formula>
    </cfRule>
    <cfRule type="cellIs" dxfId="133" priority="7" operator="equal">
      <formula>"NO GO"</formula>
    </cfRule>
    <cfRule type="cellIs" dxfId="132" priority="8" operator="equal">
      <formula>"GO"</formula>
    </cfRule>
  </conditionalFormatting>
  <conditionalFormatting sqref="AY10:AY31">
    <cfRule type="cellIs" dxfId="131" priority="1" operator="equal">
      <formula>"Pending"</formula>
    </cfRule>
    <cfRule type="cellIs" dxfId="130" priority="2" operator="equal">
      <formula>"Rejected"</formula>
    </cfRule>
    <cfRule type="cellIs" dxfId="129" priority="3" operator="equal">
      <formula>"Lost"</formula>
    </cfRule>
    <cfRule type="cellIs" dxfId="128" priority="4" operator="equal">
      <formula>"Won"</formula>
    </cfRule>
    <cfRule type="colorScale" priority="5">
      <colorScale>
        <cfvo type="min"/>
        <cfvo type="percentile" val="50"/>
        <cfvo type="max"/>
        <color rgb="FFF8696B"/>
        <color rgb="FFFCFCFF"/>
        <color rgb="FF63BE7B"/>
      </colorScale>
    </cfRule>
  </conditionalFormatting>
  <dataValidations count="8">
    <dataValidation type="list" allowBlank="1" showInputMessage="1" showErrorMessage="1" sqref="S10:AS31" xr:uid="{1009BD2E-8C0B-462B-A820-F025783490BF}">
      <formula1>"0,1,2,3,4,5"</formula1>
    </dataValidation>
    <dataValidation type="list" allowBlank="1" showInputMessage="1" showErrorMessage="1" sqref="J10:J31" xr:uid="{4A4F0769-0581-4793-AB35-994DF19FEA6C}">
      <formula1>"Open, Limited, Negotiated"</formula1>
    </dataValidation>
    <dataValidation type="list" allowBlank="1" showInputMessage="1" showErrorMessage="1" sqref="F10:F31" xr:uid="{00874F48-DEE2-41D6-9A9F-85C96AFD88A8}">
      <formula1>"Building, Infrastructure, Industrial"</formula1>
    </dataValidation>
    <dataValidation type="list" allowBlank="1" showInputMessage="1" showErrorMessage="1" sqref="I10:I31" xr:uid="{338A99F9-9654-4C9A-9D4C-93223DF94147}">
      <formula1>"6 Months, 1 Year, 2 Year, 3 Year, 4 Year, 5 Year"</formula1>
    </dataValidation>
    <dataValidation type="list" allowBlank="1" showInputMessage="1" showErrorMessage="1" sqref="P10:P31" xr:uid="{B6DD30AB-AC9D-4B46-AB1E-D1473BC95BEE}">
      <formula1>"Gov, Semi, Private"</formula1>
    </dataValidation>
    <dataValidation type="list" allowBlank="1" showInputMessage="1" showErrorMessage="1" sqref="E10:E18 E20:E31" xr:uid="{AFA9C5FC-0EA3-4572-BFDD-169A15CBF3E2}">
      <formula1>"Riyadh, Jeddah, Mecca (Makkah), Medina (Madinah), Dammam, Al-Khobar, Dhahran, Tabuk, Abha, Buraydah, Ha'il, Al-Ahsa (Hofuf), Al-Qatif, Yanbu, Najran, Al-Bahah, Jazan (Jizan), Al-Kharj, Al-Ula, Ras Tanura, Jubail, Al Qasim, Umluj"</formula1>
    </dataValidation>
    <dataValidation type="list" allowBlank="1" showInputMessage="1" showErrorMessage="1" sqref="E19" xr:uid="{2D1BF0E1-0E22-47F2-83D0-BD61E8D18A11}">
      <formula1>"Riyadh, Jeddah, Mecca (Makkah), Medina (Madinah), Dammam, Al-Khobar, Dhahran, Tabuk, Abha, Ha'il, Al-Ahsa (Hofuf), Al-Qatif, Yanbu, Najran, Al-Bahah, Jazan (Jizan), Al-Kharj, Al-Ula, Ras Tanura, Jubail, Al Qasim, Umluj"</formula1>
    </dataValidation>
    <dataValidation type="list" allowBlank="1" showInputMessage="1" showErrorMessage="1" sqref="AY10:AY31" xr:uid="{95E6F9AB-BB05-4711-9293-C027FD310584}">
      <formula1>"Won, Lost, Pending, Rejected"</formula1>
    </dataValidation>
  </dataValidations>
  <pageMargins left="0.75" right="0.75" top="1" bottom="1" header="0.5" footer="0.5"/>
  <pageSetup paperSize="8" scale="10"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A5B60B9A-8E85-4347-9E0B-6F8F6CF442D6}">
            <x14:dataBar minLength="0" maxLength="100" border="1" negativeBarBorderColorSameAsPositive="0">
              <x14:cfvo type="autoMin"/>
              <x14:cfvo type="autoMax"/>
              <x14:borderColor rgb="FFFF555A"/>
              <x14:negativeFillColor rgb="FFFF0000"/>
              <x14:negativeBorderColor rgb="FFFF0000"/>
              <x14:axisColor rgb="FF000000"/>
            </x14:dataBar>
          </x14:cfRule>
          <xm:sqref>S10:S31</xm:sqref>
        </x14:conditionalFormatting>
        <x14:conditionalFormatting xmlns:xm="http://schemas.microsoft.com/office/excel/2006/main">
          <x14:cfRule type="dataBar" id="{C0F1EE3A-235A-417C-B9D9-92B0239DE5BF}">
            <x14:dataBar minLength="0" maxLength="100" border="1" negativeBarBorderColorSameAsPositive="0">
              <x14:cfvo type="autoMin"/>
              <x14:cfvo type="autoMax"/>
              <x14:borderColor rgb="FF63C384"/>
              <x14:negativeFillColor rgb="FFFF0000"/>
              <x14:negativeBorderColor rgb="FFFF0000"/>
              <x14:axisColor rgb="FF000000"/>
            </x14:dataBar>
          </x14:cfRule>
          <xm:sqref>S10:AA31</xm:sqref>
        </x14:conditionalFormatting>
        <x14:conditionalFormatting xmlns:xm="http://schemas.microsoft.com/office/excel/2006/main">
          <x14:cfRule type="dataBar" id="{E57BE48B-495C-425A-AB08-52D0FB8024C5}">
            <x14:dataBar minLength="0" maxLength="100" border="1" negativeBarBorderColorSameAsPositive="0">
              <x14:cfvo type="autoMin"/>
              <x14:cfvo type="autoMax"/>
              <x14:borderColor rgb="FF008AEF"/>
              <x14:negativeFillColor rgb="FFFF0000"/>
              <x14:negativeBorderColor rgb="FFFF0000"/>
              <x14:axisColor rgb="FF000000"/>
            </x14:dataBar>
          </x14:cfRule>
          <xm:sqref>AB10:AB31</xm:sqref>
        </x14:conditionalFormatting>
        <x14:conditionalFormatting xmlns:xm="http://schemas.microsoft.com/office/excel/2006/main">
          <x14:cfRule type="dataBar" id="{9AADDEAA-264A-46B7-B7AA-DC32B17DE4C8}">
            <x14:dataBar minLength="0" maxLength="100" border="1" negativeBarBorderColorSameAsPositive="0">
              <x14:cfvo type="autoMin"/>
              <x14:cfvo type="autoMax"/>
              <x14:borderColor rgb="FFFFB628"/>
              <x14:negativeFillColor rgb="FFFF0000"/>
              <x14:negativeBorderColor rgb="FFFF0000"/>
              <x14:axisColor rgb="FF000000"/>
            </x14:dataBar>
          </x14:cfRule>
          <xm:sqref>AC10:AG31</xm:sqref>
        </x14:conditionalFormatting>
        <x14:conditionalFormatting xmlns:xm="http://schemas.microsoft.com/office/excel/2006/main">
          <x14:cfRule type="dataBar" id="{9EBF737E-0131-4746-8933-E6568B8223A5}">
            <x14:dataBar minLength="0" maxLength="100" border="1" negativeBarBorderColorSameAsPositive="0">
              <x14:cfvo type="autoMin"/>
              <x14:cfvo type="autoMax"/>
              <x14:borderColor rgb="FFFF555A"/>
              <x14:negativeFillColor rgb="FFFF0000"/>
              <x14:negativeBorderColor rgb="FFFF0000"/>
              <x14:axisColor rgb="FF000000"/>
            </x14:dataBar>
          </x14:cfRule>
          <xm:sqref>AH10:AK31</xm:sqref>
        </x14:conditionalFormatting>
        <x14:conditionalFormatting xmlns:xm="http://schemas.microsoft.com/office/excel/2006/main">
          <x14:cfRule type="dataBar" id="{2377FBA0-B566-4E10-BE2C-47956532CB55}">
            <x14:dataBar minLength="0" maxLength="100" border="1" negativeBarBorderColorSameAsPositive="0">
              <x14:cfvo type="autoMin"/>
              <x14:cfvo type="autoMax"/>
              <x14:borderColor rgb="FF638EC6"/>
              <x14:negativeFillColor rgb="FFFF0000"/>
              <x14:negativeBorderColor rgb="FFFF0000"/>
              <x14:axisColor rgb="FF000000"/>
            </x14:dataBar>
          </x14:cfRule>
          <xm:sqref>AL10:AN31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F016D-D771-45C3-BAF6-A9FB1326E930}">
  <sheetPr codeName="Sheet2">
    <tabColor rgb="FFFFFF00"/>
  </sheetPr>
  <dimension ref="B1:BB68"/>
  <sheetViews>
    <sheetView showGridLines="0" zoomScale="85" zoomScaleNormal="85" zoomScaleSheetLayoutView="130" workbookViewId="0">
      <selection activeCell="L45" sqref="L45:U49"/>
    </sheetView>
  </sheetViews>
  <sheetFormatPr defaultRowHeight="18" customHeight="1" x14ac:dyDescent="0.25"/>
  <cols>
    <col min="1" max="1" width="3.42578125" style="267" customWidth="1"/>
    <col min="2" max="2" width="18.5703125" style="267" bestFit="1" customWidth="1"/>
    <col min="3" max="3" width="20.5703125" style="267" bestFit="1" customWidth="1"/>
    <col min="4" max="4" width="16" style="267" bestFit="1" customWidth="1"/>
    <col min="5" max="5" width="4.140625" style="267" customWidth="1"/>
    <col min="6" max="6" width="13.28515625" style="267" bestFit="1" customWidth="1"/>
    <col min="7" max="7" width="55.42578125" style="267" bestFit="1" customWidth="1"/>
    <col min="8" max="8" width="13.7109375" style="267" bestFit="1" customWidth="1"/>
    <col min="9" max="9" width="20.28515625" style="267" bestFit="1" customWidth="1"/>
    <col min="10" max="10" width="26.7109375" style="267" bestFit="1" customWidth="1"/>
    <col min="11" max="11" width="9.140625" style="267"/>
    <col min="12" max="12" width="13.28515625" style="267" bestFit="1" customWidth="1"/>
    <col min="13" max="13" width="20.28515625" style="267" bestFit="1" customWidth="1"/>
    <col min="14" max="15" width="9.140625" style="267"/>
    <col min="16" max="16" width="17.5703125" style="267" bestFit="1" customWidth="1"/>
    <col min="17" max="17" width="16.5703125" style="267" bestFit="1" customWidth="1"/>
    <col min="18" max="18" width="9.140625" style="267"/>
    <col min="19" max="19" width="13.28515625" style="267" bestFit="1" customWidth="1"/>
    <col min="20" max="20" width="27.5703125" style="267" customWidth="1"/>
    <col min="21" max="21" width="10.28515625" style="267" bestFit="1" customWidth="1"/>
    <col min="22" max="22" width="10.28515625" style="267" customWidth="1"/>
    <col min="23" max="23" width="20.7109375" style="267" bestFit="1" customWidth="1"/>
    <col min="24" max="24" width="20.85546875" style="267" bestFit="1" customWidth="1"/>
    <col min="25" max="25" width="21.42578125" style="267" bestFit="1" customWidth="1"/>
    <col min="26" max="26" width="13.140625" style="267" bestFit="1" customWidth="1"/>
    <col min="27" max="27" width="20.85546875" style="267" bestFit="1" customWidth="1"/>
    <col min="28" max="28" width="22.42578125" style="267" bestFit="1" customWidth="1"/>
    <col min="29" max="29" width="20.7109375" style="267" bestFit="1" customWidth="1"/>
    <col min="30" max="30" width="13.28515625" style="267" bestFit="1" customWidth="1"/>
    <col min="31" max="31" width="22.42578125" style="267" bestFit="1" customWidth="1"/>
    <col min="32" max="32" width="19.42578125" style="267" bestFit="1" customWidth="1"/>
    <col min="33" max="33" width="13.140625" style="267" bestFit="1" customWidth="1"/>
    <col min="34" max="37" width="14.85546875" style="267" customWidth="1"/>
    <col min="38" max="38" width="11.28515625" style="267" bestFit="1" customWidth="1"/>
    <col min="39" max="39" width="26.7109375" style="267" bestFit="1" customWidth="1"/>
    <col min="40" max="40" width="21.85546875" style="267" bestFit="1" customWidth="1"/>
    <col min="41" max="53" width="9.140625" style="225"/>
    <col min="54" max="54" width="12.28515625" style="267" bestFit="1" customWidth="1"/>
    <col min="55" max="16384" width="9.140625" style="267"/>
  </cols>
  <sheetData>
    <row r="1" spans="2:40" s="219" customFormat="1" ht="18" customHeight="1" thickBot="1" x14ac:dyDescent="0.3"/>
    <row r="2" spans="2:40" s="219" customFormat="1" ht="18" customHeight="1" x14ac:dyDescent="0.25">
      <c r="B2" s="285" t="s">
        <v>94</v>
      </c>
      <c r="C2" s="220"/>
      <c r="D2" s="283" t="s">
        <v>95</v>
      </c>
      <c r="E2" s="220"/>
      <c r="F2" s="283" t="s">
        <v>96</v>
      </c>
      <c r="G2" s="220"/>
      <c r="H2" s="283" t="s">
        <v>97</v>
      </c>
      <c r="I2" s="220"/>
      <c r="J2" s="283" t="s">
        <v>98</v>
      </c>
      <c r="K2" s="220"/>
      <c r="L2" s="220"/>
      <c r="M2" s="220"/>
      <c r="N2" s="220"/>
      <c r="O2" s="220"/>
      <c r="P2" s="220"/>
      <c r="Q2" s="220"/>
      <c r="R2" s="220"/>
      <c r="S2" s="220"/>
      <c r="T2" s="220"/>
      <c r="U2" s="222"/>
      <c r="W2" s="284" t="s">
        <v>96</v>
      </c>
      <c r="X2" s="283" t="s">
        <v>182</v>
      </c>
      <c r="Y2" s="221"/>
      <c r="Z2" s="282" t="s">
        <v>233</v>
      </c>
      <c r="AA2" s="282" t="s">
        <v>234</v>
      </c>
      <c r="AB2" s="282" t="s">
        <v>235</v>
      </c>
      <c r="AC2" s="282" t="s">
        <v>236</v>
      </c>
      <c r="AD2" s="220"/>
      <c r="AE2" s="220"/>
      <c r="AF2" s="220"/>
      <c r="AG2" s="220"/>
      <c r="AH2" s="220"/>
      <c r="AI2" s="222"/>
    </row>
    <row r="3" spans="2:40" s="219" customFormat="1" ht="18" customHeight="1" x14ac:dyDescent="0.25">
      <c r="B3" s="274">
        <f>COUNTA(Input!D10:D31)</f>
        <v>22</v>
      </c>
      <c r="D3" s="275">
        <f>AVERAGEIF(Input!AW10:AW31,"&gt;0")</f>
        <v>0.41215909090909086</v>
      </c>
      <c r="F3" s="276">
        <f>COUNTIF(Input!AV10:AV31,"GO")</f>
        <v>10</v>
      </c>
      <c r="H3" s="276">
        <f>COUNTIF(Input!AV10:AV31,"REVIEW")</f>
        <v>6</v>
      </c>
      <c r="J3" s="276">
        <f>COUNTIFS(Input!AU10:AU31,"HIGH")</f>
        <v>6</v>
      </c>
      <c r="U3" s="224"/>
      <c r="W3" s="277">
        <f>SUMIF(Input!AV10:AV31, "Go", Input!G10:G31)</f>
        <v>29500000</v>
      </c>
      <c r="X3" s="278">
        <f>SUMIF(Input!AV10:AV31, "No Go", Input!G10:G31)</f>
        <v>19900000</v>
      </c>
      <c r="Z3" s="279">
        <f>SUMIF(Input!AY10:AY31, "Won", Input!G10:G31)</f>
        <v>25424000</v>
      </c>
      <c r="AA3" s="280">
        <f>SUMIF(Input!AY10:AY31, "Pending", Input!G10:G31)</f>
        <v>18340000</v>
      </c>
      <c r="AB3" s="278">
        <f>SUMIF(Input!AY10:AY31, "Lost", Input!G10:G31)</f>
        <v>11540000</v>
      </c>
      <c r="AC3" s="281">
        <f>SUMIF(Input!AY10:AY31, "Rejected", Input!G10:G31)</f>
        <v>19900000</v>
      </c>
      <c r="AI3" s="224"/>
    </row>
    <row r="4" spans="2:40" s="219" customFormat="1" ht="15" x14ac:dyDescent="0.25">
      <c r="B4" s="223"/>
      <c r="U4" s="224"/>
      <c r="W4" s="223"/>
      <c r="Z4" s="225"/>
      <c r="AI4" s="224"/>
    </row>
    <row r="5" spans="2:40" s="219" customFormat="1" ht="18" customHeight="1" x14ac:dyDescent="0.25">
      <c r="B5" s="223"/>
      <c r="U5" s="224"/>
      <c r="W5" s="223"/>
      <c r="AI5" s="224"/>
    </row>
    <row r="6" spans="2:40" s="219" customFormat="1" ht="18" customHeight="1" thickBot="1" x14ac:dyDescent="0.3">
      <c r="B6" s="223"/>
      <c r="U6" s="224"/>
      <c r="W6" s="223"/>
      <c r="AG6" s="226" t="s">
        <v>238</v>
      </c>
      <c r="AH6" s="226"/>
      <c r="AI6" s="224"/>
    </row>
    <row r="7" spans="2:40" s="219" customFormat="1" ht="18" customHeight="1" thickBot="1" x14ac:dyDescent="0.3">
      <c r="B7" s="223"/>
      <c r="U7" s="224"/>
      <c r="W7" s="223"/>
      <c r="AG7" s="227" t="s">
        <v>86</v>
      </c>
      <c r="AH7" s="228" t="s">
        <v>237</v>
      </c>
      <c r="AI7" s="229"/>
      <c r="AJ7" s="225"/>
      <c r="AK7" s="225"/>
      <c r="AL7" s="225"/>
    </row>
    <row r="8" spans="2:40" s="219" customFormat="1" ht="15" x14ac:dyDescent="0.25">
      <c r="B8" s="223"/>
      <c r="U8" s="224"/>
      <c r="W8" s="223"/>
      <c r="AD8" s="226" t="s">
        <v>201</v>
      </c>
      <c r="AE8" s="226"/>
      <c r="AG8" s="230" t="s">
        <v>87</v>
      </c>
      <c r="AH8" s="231">
        <v>0.45454545454545453</v>
      </c>
      <c r="AI8" s="229"/>
      <c r="AJ8" s="225"/>
      <c r="AK8" s="225"/>
      <c r="AL8" s="225"/>
    </row>
    <row r="9" spans="2:40" s="219" customFormat="1" ht="15.75" thickBot="1" x14ac:dyDescent="0.3">
      <c r="B9" s="232" t="s">
        <v>116</v>
      </c>
      <c r="C9" s="226"/>
      <c r="F9" s="226" t="s">
        <v>123</v>
      </c>
      <c r="G9" s="226"/>
      <c r="I9" s="226" t="s">
        <v>138</v>
      </c>
      <c r="J9" s="226"/>
      <c r="P9" s="226" t="s">
        <v>124</v>
      </c>
      <c r="Q9" s="226"/>
      <c r="S9" s="226" t="s">
        <v>165</v>
      </c>
      <c r="T9" s="226"/>
      <c r="U9" s="224"/>
      <c r="W9" s="232" t="s">
        <v>165</v>
      </c>
      <c r="X9" s="226"/>
      <c r="Z9" s="226" t="s">
        <v>184</v>
      </c>
      <c r="AA9" s="226"/>
      <c r="AB9" s="226"/>
      <c r="AC9" s="225"/>
      <c r="AD9" s="226" t="s">
        <v>204</v>
      </c>
      <c r="AE9" s="226"/>
      <c r="AG9" s="233" t="s">
        <v>88</v>
      </c>
      <c r="AH9" s="234">
        <v>0.27272727272727271</v>
      </c>
      <c r="AI9" s="229"/>
      <c r="AJ9" s="225"/>
      <c r="AK9" s="225"/>
      <c r="AL9" s="225"/>
    </row>
    <row r="10" spans="2:40" s="219" customFormat="1" ht="15.75" thickBot="1" x14ac:dyDescent="0.3">
      <c r="B10" s="227" t="s">
        <v>86</v>
      </c>
      <c r="C10" s="228" t="s">
        <v>195</v>
      </c>
      <c r="D10" s="225"/>
      <c r="F10" s="235" t="s">
        <v>86</v>
      </c>
      <c r="G10" s="228" t="s">
        <v>105</v>
      </c>
      <c r="H10" s="225"/>
      <c r="I10" s="227" t="s">
        <v>86</v>
      </c>
      <c r="J10" s="228" t="s">
        <v>104</v>
      </c>
      <c r="P10" s="227" t="s">
        <v>86</v>
      </c>
      <c r="Q10" s="228" t="s">
        <v>185</v>
      </c>
      <c r="R10" s="225"/>
      <c r="S10" s="227" t="s">
        <v>86</v>
      </c>
      <c r="T10" s="228" t="s">
        <v>227</v>
      </c>
      <c r="U10" s="229"/>
      <c r="V10" s="225"/>
      <c r="W10" s="227" t="s">
        <v>86</v>
      </c>
      <c r="X10" s="228" t="s">
        <v>174</v>
      </c>
      <c r="Y10" s="225"/>
      <c r="Z10" s="236" t="s">
        <v>86</v>
      </c>
      <c r="AA10" s="237" t="s">
        <v>174</v>
      </c>
      <c r="AB10" s="238" t="s">
        <v>181</v>
      </c>
      <c r="AC10" s="225"/>
      <c r="AD10" s="227" t="s">
        <v>86</v>
      </c>
      <c r="AE10" s="228" t="s">
        <v>202</v>
      </c>
      <c r="AG10" s="239" t="s">
        <v>89</v>
      </c>
      <c r="AH10" s="234">
        <v>0.27272727272727271</v>
      </c>
      <c r="AI10" s="229"/>
      <c r="AJ10" s="225"/>
      <c r="AK10" s="225"/>
      <c r="AL10" s="225"/>
      <c r="AM10" s="225"/>
      <c r="AN10" s="225"/>
    </row>
    <row r="11" spans="2:40" s="219" customFormat="1" ht="15.75" thickBot="1" x14ac:dyDescent="0.3">
      <c r="B11" s="230" t="s">
        <v>87</v>
      </c>
      <c r="C11" s="231">
        <v>0.41666666666666669</v>
      </c>
      <c r="D11" s="225"/>
      <c r="F11" s="240" t="s">
        <v>79</v>
      </c>
      <c r="G11" s="241">
        <v>0.44849999999999995</v>
      </c>
      <c r="H11" s="225"/>
      <c r="I11" s="230" t="s">
        <v>101</v>
      </c>
      <c r="J11" s="231">
        <v>0.33333333333333331</v>
      </c>
      <c r="P11" s="230" t="s">
        <v>92</v>
      </c>
      <c r="Q11" s="242">
        <v>1</v>
      </c>
      <c r="R11" s="225"/>
      <c r="S11" s="230" t="s">
        <v>140</v>
      </c>
      <c r="T11" s="242">
        <v>1</v>
      </c>
      <c r="U11" s="229"/>
      <c r="V11" s="225"/>
      <c r="W11" s="230" t="s">
        <v>215</v>
      </c>
      <c r="X11" s="243">
        <v>800000</v>
      </c>
      <c r="Y11" s="225"/>
      <c r="Z11" s="240" t="s">
        <v>215</v>
      </c>
      <c r="AA11" s="244">
        <v>14000000</v>
      </c>
      <c r="AB11" s="245">
        <v>15800000</v>
      </c>
      <c r="AC11" s="225"/>
      <c r="AD11" s="230" t="s">
        <v>197</v>
      </c>
      <c r="AE11" s="242">
        <v>11</v>
      </c>
      <c r="AG11" s="246" t="s">
        <v>90</v>
      </c>
      <c r="AH11" s="247">
        <v>1</v>
      </c>
      <c r="AI11" s="229"/>
      <c r="AJ11" s="225"/>
      <c r="AK11" s="225"/>
      <c r="AL11" s="225"/>
      <c r="AM11" s="225"/>
      <c r="AN11" s="225"/>
    </row>
    <row r="12" spans="2:40" s="219" customFormat="1" ht="15.75" thickBot="1" x14ac:dyDescent="0.3">
      <c r="B12" s="233" t="s">
        <v>88</v>
      </c>
      <c r="C12" s="234">
        <v>0.33333333333333331</v>
      </c>
      <c r="D12" s="225"/>
      <c r="F12" s="240" t="s">
        <v>81</v>
      </c>
      <c r="G12" s="248">
        <v>0.42375000000000002</v>
      </c>
      <c r="H12" s="225"/>
      <c r="I12" s="233" t="s">
        <v>102</v>
      </c>
      <c r="J12" s="234">
        <v>0.25</v>
      </c>
      <c r="P12" s="233" t="s">
        <v>130</v>
      </c>
      <c r="Q12" s="249">
        <v>1</v>
      </c>
      <c r="R12" s="225"/>
      <c r="S12" s="233" t="s">
        <v>151</v>
      </c>
      <c r="T12" s="249">
        <v>1</v>
      </c>
      <c r="U12" s="229"/>
      <c r="V12" s="225"/>
      <c r="W12" s="233" t="s">
        <v>216</v>
      </c>
      <c r="X12" s="250">
        <v>1800000</v>
      </c>
      <c r="Y12" s="225"/>
      <c r="Z12" s="240" t="s">
        <v>216</v>
      </c>
      <c r="AA12" s="251">
        <v>17444000</v>
      </c>
      <c r="AB12" s="252">
        <v>18804000</v>
      </c>
      <c r="AC12" s="225"/>
      <c r="AD12" s="239" t="s">
        <v>198</v>
      </c>
      <c r="AE12" s="249">
        <v>11</v>
      </c>
      <c r="AG12" s="225"/>
      <c r="AH12" s="225"/>
      <c r="AI12" s="229"/>
      <c r="AJ12" s="225"/>
      <c r="AK12" s="225"/>
      <c r="AL12" s="225"/>
      <c r="AM12" s="225"/>
      <c r="AN12" s="225"/>
    </row>
    <row r="13" spans="2:40" s="219" customFormat="1" ht="15.75" thickBot="1" x14ac:dyDescent="0.3">
      <c r="B13" s="239" t="s">
        <v>89</v>
      </c>
      <c r="C13" s="234">
        <v>0.25</v>
      </c>
      <c r="D13" s="225"/>
      <c r="F13" s="253" t="s">
        <v>80</v>
      </c>
      <c r="G13" s="248">
        <v>0.32749999999999996</v>
      </c>
      <c r="H13" s="225"/>
      <c r="I13" s="239" t="s">
        <v>103</v>
      </c>
      <c r="J13" s="234">
        <v>0.41666666666666669</v>
      </c>
      <c r="P13" s="233" t="s">
        <v>128</v>
      </c>
      <c r="Q13" s="249">
        <v>1</v>
      </c>
      <c r="R13" s="225"/>
      <c r="S13" s="233" t="s">
        <v>141</v>
      </c>
      <c r="T13" s="249">
        <v>1</v>
      </c>
      <c r="U13" s="229"/>
      <c r="V13" s="225"/>
      <c r="W13" s="233" t="s">
        <v>217</v>
      </c>
      <c r="X13" s="250">
        <v>2800000</v>
      </c>
      <c r="Y13" s="225"/>
      <c r="Z13" s="240" t="s">
        <v>217</v>
      </c>
      <c r="AA13" s="251">
        <v>677000</v>
      </c>
      <c r="AB13" s="252">
        <v>900000</v>
      </c>
      <c r="AC13" s="225"/>
      <c r="AD13" s="246" t="s">
        <v>90</v>
      </c>
      <c r="AE13" s="254">
        <v>22</v>
      </c>
      <c r="AG13" s="225"/>
      <c r="AH13" s="225"/>
      <c r="AI13" s="229"/>
      <c r="AJ13" s="225"/>
      <c r="AK13" s="225"/>
      <c r="AL13" s="225"/>
      <c r="AM13" s="225"/>
      <c r="AN13" s="225"/>
    </row>
    <row r="14" spans="2:40" s="219" customFormat="1" ht="15.75" thickBot="1" x14ac:dyDescent="0.3">
      <c r="B14" s="246" t="s">
        <v>90</v>
      </c>
      <c r="C14" s="247">
        <v>1</v>
      </c>
      <c r="D14" s="225"/>
      <c r="F14" s="246" t="s">
        <v>90</v>
      </c>
      <c r="G14" s="255">
        <v>0.41</v>
      </c>
      <c r="H14" s="225"/>
      <c r="I14" s="246" t="s">
        <v>90</v>
      </c>
      <c r="J14" s="247">
        <v>1</v>
      </c>
      <c r="P14" s="233" t="s">
        <v>112</v>
      </c>
      <c r="Q14" s="249">
        <v>1</v>
      </c>
      <c r="R14" s="225"/>
      <c r="S14" s="233" t="s">
        <v>142</v>
      </c>
      <c r="T14" s="249">
        <v>1</v>
      </c>
      <c r="U14" s="229"/>
      <c r="V14" s="225"/>
      <c r="W14" s="233" t="s">
        <v>218</v>
      </c>
      <c r="X14" s="250">
        <v>2800000</v>
      </c>
      <c r="Y14" s="225"/>
      <c r="Z14" s="240" t="s">
        <v>218</v>
      </c>
      <c r="AA14" s="251">
        <v>6340000</v>
      </c>
      <c r="AB14" s="252">
        <v>6540000</v>
      </c>
      <c r="AC14" s="225"/>
      <c r="AD14" s="225"/>
      <c r="AE14" s="225"/>
      <c r="AG14" s="225"/>
      <c r="AH14" s="225"/>
      <c r="AI14" s="229"/>
      <c r="AJ14" s="225"/>
      <c r="AK14" s="225"/>
      <c r="AL14" s="225"/>
      <c r="AM14" s="225"/>
      <c r="AN14" s="225"/>
    </row>
    <row r="15" spans="2:40" s="219" customFormat="1" ht="15" x14ac:dyDescent="0.25">
      <c r="B15" s="256"/>
      <c r="C15" s="225"/>
      <c r="D15" s="225"/>
      <c r="F15" s="225"/>
      <c r="G15" s="225"/>
      <c r="H15" s="225"/>
      <c r="I15" s="225"/>
      <c r="J15" s="225"/>
      <c r="P15" s="233" t="s">
        <v>111</v>
      </c>
      <c r="Q15" s="249">
        <v>1</v>
      </c>
      <c r="R15" s="225"/>
      <c r="S15" s="233" t="s">
        <v>143</v>
      </c>
      <c r="T15" s="249">
        <v>1</v>
      </c>
      <c r="U15" s="229"/>
      <c r="V15" s="225"/>
      <c r="W15" s="233" t="s">
        <v>143</v>
      </c>
      <c r="X15" s="250">
        <v>2800000</v>
      </c>
      <c r="Y15" s="225"/>
      <c r="Z15" s="240" t="s">
        <v>143</v>
      </c>
      <c r="AA15" s="251">
        <v>1800000</v>
      </c>
      <c r="AB15" s="252">
        <v>2000000</v>
      </c>
      <c r="AC15" s="225"/>
      <c r="AD15" s="225"/>
      <c r="AE15" s="225"/>
      <c r="AF15" s="225"/>
      <c r="AG15" s="225"/>
      <c r="AH15" s="225"/>
      <c r="AI15" s="229"/>
      <c r="AJ15" s="225"/>
      <c r="AK15" s="225"/>
      <c r="AL15" s="225"/>
      <c r="AM15" s="225"/>
      <c r="AN15" s="225"/>
    </row>
    <row r="16" spans="2:40" s="219" customFormat="1" ht="15.75" thickBot="1" x14ac:dyDescent="0.3">
      <c r="B16" s="256"/>
      <c r="C16" s="225"/>
      <c r="D16" s="225"/>
      <c r="F16" s="226" t="s">
        <v>117</v>
      </c>
      <c r="G16" s="226"/>
      <c r="H16" s="226"/>
      <c r="I16" s="226"/>
      <c r="J16" s="226"/>
      <c r="P16" s="233" t="s">
        <v>129</v>
      </c>
      <c r="Q16" s="249">
        <v>1</v>
      </c>
      <c r="R16" s="225"/>
      <c r="S16" s="233" t="s">
        <v>144</v>
      </c>
      <c r="T16" s="249">
        <v>1</v>
      </c>
      <c r="U16" s="229"/>
      <c r="V16" s="225"/>
      <c r="W16" s="233" t="s">
        <v>219</v>
      </c>
      <c r="X16" s="250">
        <v>2800000</v>
      </c>
      <c r="Y16" s="225"/>
      <c r="Z16" s="240" t="s">
        <v>219</v>
      </c>
      <c r="AA16" s="251">
        <v>2800000</v>
      </c>
      <c r="AB16" s="252">
        <v>9000000</v>
      </c>
      <c r="AC16" s="225"/>
      <c r="AD16" s="225"/>
      <c r="AE16" s="225"/>
      <c r="AF16" s="225"/>
      <c r="AG16" s="225"/>
      <c r="AH16" s="225"/>
      <c r="AI16" s="229"/>
      <c r="AJ16" s="225"/>
      <c r="AK16" s="225"/>
      <c r="AL16" s="225"/>
      <c r="AM16" s="225"/>
      <c r="AN16" s="225"/>
    </row>
    <row r="17" spans="2:51" s="219" customFormat="1" ht="15.75" thickBot="1" x14ac:dyDescent="0.3">
      <c r="B17" s="256"/>
      <c r="C17" s="225"/>
      <c r="D17" s="225"/>
      <c r="E17" s="225"/>
      <c r="F17" s="227" t="s">
        <v>86</v>
      </c>
      <c r="G17" s="228" t="s">
        <v>106</v>
      </c>
      <c r="H17" s="227" t="s">
        <v>86</v>
      </c>
      <c r="I17" s="228" t="s">
        <v>106</v>
      </c>
      <c r="J17" s="225"/>
      <c r="P17" s="233" t="s">
        <v>93</v>
      </c>
      <c r="Q17" s="249">
        <v>1</v>
      </c>
      <c r="R17" s="225"/>
      <c r="S17" s="233" t="s">
        <v>145</v>
      </c>
      <c r="T17" s="249">
        <v>1</v>
      </c>
      <c r="U17" s="229"/>
      <c r="V17" s="225"/>
      <c r="W17" s="233" t="s">
        <v>220</v>
      </c>
      <c r="X17" s="250">
        <v>2800000</v>
      </c>
      <c r="Y17" s="225"/>
      <c r="Z17" s="240" t="s">
        <v>220</v>
      </c>
      <c r="AA17" s="251">
        <v>4500000</v>
      </c>
      <c r="AB17" s="252">
        <v>8000000</v>
      </c>
      <c r="AC17" s="225"/>
      <c r="AD17" s="225"/>
      <c r="AE17" s="225"/>
      <c r="AF17" s="225"/>
      <c r="AG17" s="225"/>
      <c r="AH17" s="225"/>
      <c r="AI17" s="229"/>
      <c r="AJ17" s="225"/>
      <c r="AK17" s="225"/>
      <c r="AL17" s="225"/>
      <c r="AM17" s="225"/>
      <c r="AN17" s="225"/>
    </row>
    <row r="18" spans="2:51" s="219" customFormat="1" ht="15" x14ac:dyDescent="0.25">
      <c r="B18" s="256"/>
      <c r="C18" s="225"/>
      <c r="D18" s="225"/>
      <c r="E18" s="225"/>
      <c r="F18" s="230" t="s">
        <v>78</v>
      </c>
      <c r="G18" s="231">
        <v>0.36363636363636365</v>
      </c>
      <c r="H18" s="230" t="s">
        <v>78</v>
      </c>
      <c r="I18" s="242">
        <v>8</v>
      </c>
      <c r="J18" s="225">
        <f>GETPIVOTDATA("Project Type",$H$17,"Project Type","Building")</f>
        <v>8</v>
      </c>
      <c r="P18" s="233" t="s">
        <v>126</v>
      </c>
      <c r="Q18" s="249">
        <v>1</v>
      </c>
      <c r="R18" s="225"/>
      <c r="S18" s="233" t="s">
        <v>146</v>
      </c>
      <c r="T18" s="249">
        <v>1</v>
      </c>
      <c r="U18" s="229"/>
      <c r="V18" s="225"/>
      <c r="W18" s="233" t="s">
        <v>221</v>
      </c>
      <c r="X18" s="250">
        <v>6340000</v>
      </c>
      <c r="Y18" s="225"/>
      <c r="Z18" s="240" t="s">
        <v>221</v>
      </c>
      <c r="AA18" s="251">
        <v>3500000</v>
      </c>
      <c r="AB18" s="252">
        <v>6500000</v>
      </c>
      <c r="AC18" s="225"/>
      <c r="AD18" s="225"/>
      <c r="AE18" s="225"/>
      <c r="AF18" s="225"/>
      <c r="AG18" s="225"/>
      <c r="AH18" s="225"/>
      <c r="AI18" s="229"/>
      <c r="AJ18" s="225"/>
      <c r="AK18" s="225"/>
      <c r="AL18" s="225"/>
      <c r="AM18" s="225"/>
      <c r="AN18" s="225"/>
    </row>
    <row r="19" spans="2:51" s="219" customFormat="1" ht="15" x14ac:dyDescent="0.25">
      <c r="B19" s="256"/>
      <c r="C19" s="225"/>
      <c r="D19" s="225"/>
      <c r="E19" s="225"/>
      <c r="F19" s="233" t="s">
        <v>68</v>
      </c>
      <c r="G19" s="234">
        <v>0.27272727272727271</v>
      </c>
      <c r="H19" s="233" t="s">
        <v>68</v>
      </c>
      <c r="I19" s="249">
        <v>6</v>
      </c>
      <c r="J19" s="225">
        <f>GETPIVOTDATA("Project Type",$H$17,"Project Type","Industrial")</f>
        <v>6</v>
      </c>
      <c r="P19" s="233" t="s">
        <v>127</v>
      </c>
      <c r="Q19" s="249">
        <v>1</v>
      </c>
      <c r="R19" s="225"/>
      <c r="S19" s="233" t="s">
        <v>147</v>
      </c>
      <c r="T19" s="249">
        <v>1</v>
      </c>
      <c r="U19" s="229"/>
      <c r="V19" s="225"/>
      <c r="W19" s="233" t="s">
        <v>222</v>
      </c>
      <c r="X19" s="250">
        <v>240000</v>
      </c>
      <c r="Y19" s="225"/>
      <c r="Z19" s="240" t="s">
        <v>222</v>
      </c>
      <c r="AA19" s="251">
        <v>2800000</v>
      </c>
      <c r="AB19" s="252">
        <v>3000000</v>
      </c>
      <c r="AC19" s="225"/>
      <c r="AD19" s="225"/>
      <c r="AE19" s="225"/>
      <c r="AF19" s="225"/>
      <c r="AG19" s="225"/>
      <c r="AH19" s="225"/>
      <c r="AI19" s="229"/>
      <c r="AJ19" s="225"/>
      <c r="AK19" s="225"/>
      <c r="AL19" s="225"/>
    </row>
    <row r="20" spans="2:51" s="219" customFormat="1" ht="15.75" thickBot="1" x14ac:dyDescent="0.3">
      <c r="B20" s="232" t="s">
        <v>229</v>
      </c>
      <c r="C20" s="226"/>
      <c r="D20" s="225"/>
      <c r="E20" s="225"/>
      <c r="F20" s="239" t="s">
        <v>67</v>
      </c>
      <c r="G20" s="234">
        <v>0.36363636363636365</v>
      </c>
      <c r="H20" s="239" t="s">
        <v>67</v>
      </c>
      <c r="I20" s="249">
        <v>8</v>
      </c>
      <c r="J20" s="225">
        <f>GETPIVOTDATA("Project Type",$H$17,"Project Type","Infrastructure")</f>
        <v>8</v>
      </c>
      <c r="P20" s="233" t="s">
        <v>82</v>
      </c>
      <c r="Q20" s="249">
        <v>1</v>
      </c>
      <c r="R20" s="225"/>
      <c r="S20" s="233" t="s">
        <v>148</v>
      </c>
      <c r="T20" s="249">
        <v>1</v>
      </c>
      <c r="U20" s="229"/>
      <c r="V20" s="225"/>
      <c r="W20" s="233" t="s">
        <v>223</v>
      </c>
      <c r="X20" s="250">
        <v>6264000</v>
      </c>
      <c r="Y20" s="225"/>
      <c r="Z20" s="240" t="s">
        <v>223</v>
      </c>
      <c r="AA20" s="251">
        <v>200000</v>
      </c>
      <c r="AB20" s="252">
        <v>1000000</v>
      </c>
      <c r="AC20" s="225"/>
      <c r="AD20" s="225"/>
      <c r="AE20" s="225"/>
      <c r="AF20" s="225"/>
      <c r="AG20" s="225"/>
      <c r="AH20" s="225"/>
      <c r="AI20" s="229"/>
      <c r="AJ20" s="225"/>
      <c r="AK20" s="225"/>
      <c r="AL20" s="225"/>
    </row>
    <row r="21" spans="2:51" s="219" customFormat="1" ht="15.75" thickBot="1" x14ac:dyDescent="0.3">
      <c r="B21" s="227" t="s">
        <v>86</v>
      </c>
      <c r="C21" s="228" t="s">
        <v>228</v>
      </c>
      <c r="D21" s="225"/>
      <c r="E21" s="225"/>
      <c r="F21" s="246" t="s">
        <v>90</v>
      </c>
      <c r="G21" s="247">
        <v>1</v>
      </c>
      <c r="H21" s="246" t="s">
        <v>90</v>
      </c>
      <c r="I21" s="254">
        <v>22</v>
      </c>
      <c r="J21" s="225">
        <f>GETPIVOTDATA("Project Type",$H$17)</f>
        <v>22</v>
      </c>
      <c r="P21" s="233" t="s">
        <v>114</v>
      </c>
      <c r="Q21" s="249">
        <v>1</v>
      </c>
      <c r="R21" s="225"/>
      <c r="S21" s="233" t="s">
        <v>149</v>
      </c>
      <c r="T21" s="249">
        <v>1</v>
      </c>
      <c r="U21" s="229"/>
      <c r="V21" s="225"/>
      <c r="W21" s="233" t="s">
        <v>224</v>
      </c>
      <c r="X21" s="250">
        <v>6340000</v>
      </c>
      <c r="Y21" s="225"/>
      <c r="Z21" s="240" t="s">
        <v>224</v>
      </c>
      <c r="AA21" s="251">
        <v>2800000</v>
      </c>
      <c r="AB21" s="252">
        <v>3000000</v>
      </c>
      <c r="AC21" s="225"/>
      <c r="AD21" s="225"/>
      <c r="AE21" s="225"/>
      <c r="AF21" s="225"/>
      <c r="AG21" s="225"/>
      <c r="AH21" s="225"/>
      <c r="AI21" s="229"/>
      <c r="AJ21" s="225"/>
      <c r="AK21" s="225"/>
      <c r="AL21" s="225"/>
    </row>
    <row r="22" spans="2:51" s="219" customFormat="1" ht="15.75" thickBot="1" x14ac:dyDescent="0.3">
      <c r="B22" s="230" t="s">
        <v>92</v>
      </c>
      <c r="C22" s="241">
        <v>0.75</v>
      </c>
      <c r="D22" s="225"/>
      <c r="E22" s="225"/>
      <c r="F22" s="225"/>
      <c r="G22" s="225"/>
      <c r="H22" s="225"/>
      <c r="I22" s="225"/>
      <c r="J22" s="225"/>
      <c r="P22" s="239" t="s">
        <v>125</v>
      </c>
      <c r="Q22" s="249">
        <v>1</v>
      </c>
      <c r="R22" s="225"/>
      <c r="S22" s="239" t="s">
        <v>150</v>
      </c>
      <c r="T22" s="249">
        <v>1</v>
      </c>
      <c r="U22" s="229"/>
      <c r="V22" s="225"/>
      <c r="W22" s="239" t="s">
        <v>225</v>
      </c>
      <c r="X22" s="250">
        <v>677000</v>
      </c>
      <c r="Y22" s="225"/>
      <c r="Z22" s="240" t="s">
        <v>225</v>
      </c>
      <c r="AA22" s="251">
        <v>500000</v>
      </c>
      <c r="AB22" s="252">
        <v>660000</v>
      </c>
      <c r="AC22" s="225"/>
      <c r="AD22" s="225"/>
      <c r="AE22" s="225"/>
      <c r="AF22" s="225"/>
      <c r="AG22" s="225"/>
      <c r="AH22" s="225"/>
      <c r="AI22" s="229"/>
      <c r="AJ22" s="225"/>
      <c r="AK22" s="225"/>
      <c r="AL22" s="225"/>
    </row>
    <row r="23" spans="2:51" s="219" customFormat="1" ht="15.75" thickBot="1" x14ac:dyDescent="0.3">
      <c r="B23" s="233" t="s">
        <v>66</v>
      </c>
      <c r="C23" s="248">
        <v>0.51</v>
      </c>
      <c r="D23" s="225"/>
      <c r="E23" s="225"/>
      <c r="F23" s="226" t="s">
        <v>118</v>
      </c>
      <c r="G23" s="226"/>
      <c r="H23" s="226"/>
      <c r="I23" s="226"/>
      <c r="J23" s="226"/>
      <c r="K23" s="226"/>
      <c r="L23" s="226"/>
      <c r="M23" s="226"/>
      <c r="N23" s="226"/>
      <c r="P23" s="246" t="s">
        <v>90</v>
      </c>
      <c r="Q23" s="254">
        <v>12</v>
      </c>
      <c r="R23" s="225"/>
      <c r="S23" s="246" t="s">
        <v>90</v>
      </c>
      <c r="T23" s="254">
        <v>12</v>
      </c>
      <c r="U23" s="229"/>
      <c r="V23" s="225"/>
      <c r="W23" s="246" t="s">
        <v>90</v>
      </c>
      <c r="X23" s="257">
        <v>36461000</v>
      </c>
      <c r="Y23" s="225"/>
      <c r="Z23" s="246" t="s">
        <v>90</v>
      </c>
      <c r="AA23" s="258">
        <v>57361000</v>
      </c>
      <c r="AB23" s="259">
        <v>75204000</v>
      </c>
      <c r="AD23" s="225"/>
      <c r="AE23" s="225"/>
      <c r="AF23" s="225"/>
      <c r="AG23" s="225"/>
      <c r="AH23" s="225"/>
      <c r="AI23" s="229"/>
      <c r="AJ23" s="225"/>
      <c r="AK23" s="225"/>
    </row>
    <row r="24" spans="2:51" s="219" customFormat="1" ht="15.75" thickBot="1" x14ac:dyDescent="0.3">
      <c r="B24" s="233" t="s">
        <v>130</v>
      </c>
      <c r="C24" s="248">
        <v>0.09</v>
      </c>
      <c r="D24" s="225"/>
      <c r="E24" s="225"/>
      <c r="F24" s="227" t="s">
        <v>86</v>
      </c>
      <c r="G24" s="228" t="s">
        <v>104</v>
      </c>
      <c r="H24" s="260"/>
      <c r="I24" s="260"/>
      <c r="J24" s="261" t="s">
        <v>108</v>
      </c>
      <c r="K24" s="261" t="s">
        <v>107</v>
      </c>
      <c r="L24" s="261" t="s">
        <v>156</v>
      </c>
      <c r="M24" s="261" t="s">
        <v>157</v>
      </c>
      <c r="N24" s="261" t="s">
        <v>158</v>
      </c>
      <c r="P24" s="225"/>
      <c r="Q24" s="225"/>
      <c r="R24" s="225"/>
      <c r="S24" s="225"/>
      <c r="T24" s="225"/>
      <c r="U24" s="229"/>
      <c r="V24" s="225"/>
      <c r="W24" s="256"/>
      <c r="X24" s="225"/>
      <c r="Y24" s="225"/>
      <c r="Z24" s="225"/>
      <c r="AA24" s="225"/>
      <c r="AB24" s="225"/>
      <c r="AD24" s="225"/>
      <c r="AE24" s="225"/>
      <c r="AF24" s="225"/>
      <c r="AG24" s="225"/>
      <c r="AH24" s="225"/>
      <c r="AI24" s="229"/>
      <c r="AJ24" s="225"/>
      <c r="AK24" s="225"/>
    </row>
    <row r="25" spans="2:51" s="219" customFormat="1" ht="15" x14ac:dyDescent="0.25">
      <c r="B25" s="233" t="s">
        <v>133</v>
      </c>
      <c r="C25" s="248">
        <v>0.38250000000000001</v>
      </c>
      <c r="D25" s="225"/>
      <c r="E25" s="225"/>
      <c r="F25" s="230" t="s">
        <v>101</v>
      </c>
      <c r="G25" s="242">
        <v>4</v>
      </c>
      <c r="H25" s="289" t="str">
        <f>F26</f>
        <v>LOW</v>
      </c>
      <c r="I25" s="290">
        <v>30</v>
      </c>
      <c r="J25" s="289" t="s">
        <v>159</v>
      </c>
      <c r="K25" s="291">
        <f>N28</f>
        <v>61.25</v>
      </c>
      <c r="L25" s="292" t="s">
        <v>152</v>
      </c>
      <c r="M25" s="292">
        <f>G26</f>
        <v>3</v>
      </c>
      <c r="N25" s="292">
        <v>25</v>
      </c>
      <c r="P25" s="225"/>
      <c r="Q25" s="225"/>
      <c r="R25" s="225"/>
      <c r="S25" s="225"/>
      <c r="T25" s="225"/>
      <c r="U25" s="229"/>
      <c r="V25" s="225"/>
      <c r="W25" s="223"/>
      <c r="Y25" s="225"/>
      <c r="Z25" s="225"/>
      <c r="AA25" s="225"/>
      <c r="AB25" s="225"/>
      <c r="AD25" s="225"/>
      <c r="AE25" s="225"/>
      <c r="AF25" s="225"/>
      <c r="AH25" s="225"/>
      <c r="AI25" s="229"/>
      <c r="AJ25" s="225"/>
      <c r="AK25" s="225"/>
    </row>
    <row r="26" spans="2:51" s="219" customFormat="1" ht="15" x14ac:dyDescent="0.25">
      <c r="B26" s="233" t="s">
        <v>135</v>
      </c>
      <c r="C26" s="248">
        <v>0.51</v>
      </c>
      <c r="D26" s="225"/>
      <c r="E26" s="225"/>
      <c r="F26" s="233" t="s">
        <v>102</v>
      </c>
      <c r="G26" s="249">
        <v>3</v>
      </c>
      <c r="H26" s="289" t="str">
        <f>F27</f>
        <v>MEDIUM</v>
      </c>
      <c r="I26" s="290">
        <v>40</v>
      </c>
      <c r="J26" s="289" t="s">
        <v>160</v>
      </c>
      <c r="K26" s="289">
        <v>1.5</v>
      </c>
      <c r="L26" s="292" t="s">
        <v>153</v>
      </c>
      <c r="M26" s="292">
        <f>G27</f>
        <v>5</v>
      </c>
      <c r="N26" s="292">
        <v>60</v>
      </c>
      <c r="P26" s="225"/>
      <c r="Q26" s="225"/>
      <c r="R26" s="225"/>
      <c r="S26" s="225"/>
      <c r="T26" s="225"/>
      <c r="U26" s="229"/>
      <c r="V26" s="225"/>
      <c r="W26" s="223"/>
      <c r="Y26" s="225"/>
      <c r="Z26" s="225"/>
      <c r="AA26" s="225"/>
      <c r="AB26" s="225"/>
      <c r="AD26" s="225"/>
      <c r="AE26" s="225"/>
      <c r="AF26" s="225"/>
      <c r="AH26" s="225"/>
      <c r="AI26" s="229"/>
      <c r="AJ26" s="225"/>
      <c r="AK26" s="225"/>
    </row>
    <row r="27" spans="2:51" s="219" customFormat="1" ht="15.75" thickBot="1" x14ac:dyDescent="0.3">
      <c r="B27" s="233" t="s">
        <v>128</v>
      </c>
      <c r="C27" s="248">
        <v>0.38250000000000001</v>
      </c>
      <c r="D27" s="225"/>
      <c r="E27" s="225"/>
      <c r="F27" s="239" t="s">
        <v>103</v>
      </c>
      <c r="G27" s="249">
        <v>5</v>
      </c>
      <c r="H27" s="289" t="str">
        <f>F25</f>
        <v>HIGH</v>
      </c>
      <c r="I27" s="290">
        <v>30</v>
      </c>
      <c r="J27" s="289" t="s">
        <v>161</v>
      </c>
      <c r="K27" s="291">
        <f>100-K25-K26</f>
        <v>37.25</v>
      </c>
      <c r="L27" s="292" t="s">
        <v>154</v>
      </c>
      <c r="M27" s="292">
        <f>G25</f>
        <v>4</v>
      </c>
      <c r="N27" s="292">
        <v>90</v>
      </c>
      <c r="P27" s="225"/>
      <c r="Q27" s="225"/>
      <c r="R27" s="225"/>
      <c r="S27" s="225"/>
      <c r="T27" s="225"/>
      <c r="U27" s="229"/>
      <c r="V27" s="225"/>
      <c r="W27" s="223"/>
      <c r="Y27" s="225"/>
      <c r="Z27" s="225"/>
      <c r="AA27" s="225"/>
      <c r="AB27" s="225"/>
      <c r="AD27" s="225"/>
      <c r="AE27" s="225"/>
      <c r="AF27" s="225"/>
      <c r="AH27" s="225"/>
      <c r="AI27" s="229"/>
      <c r="AJ27" s="225"/>
      <c r="AK27" s="225"/>
    </row>
    <row r="28" spans="2:51" s="219" customFormat="1" ht="18" customHeight="1" thickBot="1" x14ac:dyDescent="0.3">
      <c r="B28" s="233" t="s">
        <v>131</v>
      </c>
      <c r="C28" s="248">
        <v>0.38250000000000001</v>
      </c>
      <c r="D28" s="225"/>
      <c r="E28" s="225"/>
      <c r="F28" s="246" t="s">
        <v>90</v>
      </c>
      <c r="G28" s="254">
        <v>12</v>
      </c>
      <c r="H28" s="289"/>
      <c r="I28" s="290">
        <f>SUM(I25:I27)</f>
        <v>100</v>
      </c>
      <c r="J28" s="289" t="s">
        <v>162</v>
      </c>
      <c r="K28" s="292">
        <v>100</v>
      </c>
      <c r="L28" s="292" t="s">
        <v>155</v>
      </c>
      <c r="M28" s="292">
        <f>SUM(M25:M27)</f>
        <v>12</v>
      </c>
      <c r="N28" s="292">
        <f>(M25*N25+M26*N26+M27*N27)/SUM(M25:M27)</f>
        <v>61.25</v>
      </c>
      <c r="P28" s="225"/>
      <c r="Q28" s="225"/>
      <c r="U28" s="224"/>
      <c r="W28" s="232" t="s">
        <v>200</v>
      </c>
      <c r="X28" s="226"/>
      <c r="Y28" s="225"/>
      <c r="Z28" s="226" t="s">
        <v>199</v>
      </c>
      <c r="AA28" s="226"/>
      <c r="AB28" s="225"/>
      <c r="AD28" s="262" t="s">
        <v>231</v>
      </c>
      <c r="AE28" s="262"/>
      <c r="AF28" s="262"/>
      <c r="AG28" s="262"/>
      <c r="AH28" s="262"/>
      <c r="AI28" s="224"/>
      <c r="AY28" s="263"/>
    </row>
    <row r="29" spans="2:51" s="219" customFormat="1" ht="16.5" thickBot="1" x14ac:dyDescent="0.3">
      <c r="B29" s="233" t="s">
        <v>136</v>
      </c>
      <c r="C29" s="248">
        <v>0.18</v>
      </c>
      <c r="D29" s="225"/>
      <c r="E29" s="225"/>
      <c r="F29" s="225"/>
      <c r="G29" s="225"/>
      <c r="H29" s="264"/>
      <c r="I29" s="225"/>
      <c r="P29" s="225"/>
      <c r="Q29" s="225"/>
      <c r="U29" s="224"/>
      <c r="W29" s="235" t="s">
        <v>176</v>
      </c>
      <c r="X29" s="238" t="s">
        <v>178</v>
      </c>
      <c r="Y29" s="225"/>
      <c r="Z29" s="227" t="s">
        <v>86</v>
      </c>
      <c r="AA29" s="228" t="s">
        <v>187</v>
      </c>
      <c r="AB29" s="225"/>
      <c r="AD29" s="265" t="s">
        <v>230</v>
      </c>
      <c r="AE29" s="266" t="s">
        <v>178</v>
      </c>
      <c r="AF29" s="266" t="s">
        <v>179</v>
      </c>
      <c r="AG29" s="266" t="s">
        <v>180</v>
      </c>
      <c r="AH29" s="266" t="s">
        <v>183</v>
      </c>
      <c r="AI29" s="224"/>
      <c r="AY29" s="263"/>
    </row>
    <row r="30" spans="2:51" s="219" customFormat="1" ht="15.75" thickBot="1" x14ac:dyDescent="0.3">
      <c r="B30" s="233" t="s">
        <v>112</v>
      </c>
      <c r="C30" s="248">
        <v>0.75</v>
      </c>
      <c r="D30" s="225"/>
      <c r="E30" s="225"/>
      <c r="F30" s="225"/>
      <c r="G30" s="264"/>
      <c r="H30" s="225"/>
      <c r="I30" s="225"/>
      <c r="J30" s="225"/>
      <c r="P30" s="225"/>
      <c r="Q30" s="225"/>
      <c r="U30" s="224"/>
      <c r="W30" s="256"/>
      <c r="X30" s="225"/>
      <c r="Y30" s="225"/>
      <c r="Z30" s="230" t="s">
        <v>179</v>
      </c>
      <c r="AA30" s="242">
        <v>3</v>
      </c>
      <c r="AB30" s="225"/>
      <c r="AC30" s="225"/>
      <c r="AD30" s="286" t="str">
        <f>'CEO Input'!M8</f>
        <v>Jan</v>
      </c>
      <c r="AE30" s="286">
        <f>COUNTIFS(CEOinput[Won, Lost, Pending],"Won",CEOinput[Running Month],AD30)</f>
        <v>3</v>
      </c>
      <c r="AF30" s="286">
        <f>COUNTIFS(CEOinput[Won, Lost, Pending],"Lost",CEOinput[Running Month],AD30)</f>
        <v>0</v>
      </c>
      <c r="AG30" s="286">
        <f>COUNTIFS(CEOinput[Won, Lost, Pending],"Pending",CEOinput[Running Month],AD30)</f>
        <v>1</v>
      </c>
      <c r="AH30" s="286">
        <f>COUNTIFS(CEOinput[Won, Lost, Pending],"Rejected",CEOinput[Running Month],AD30)</f>
        <v>3</v>
      </c>
      <c r="AI30" s="224"/>
      <c r="AY30" s="263"/>
    </row>
    <row r="31" spans="2:51" s="219" customFormat="1" ht="15.75" thickBot="1" x14ac:dyDescent="0.3">
      <c r="B31" s="233" t="s">
        <v>111</v>
      </c>
      <c r="C31" s="248">
        <v>0.38250000000000001</v>
      </c>
      <c r="D31" s="225"/>
      <c r="E31" s="225"/>
      <c r="F31" s="226" t="s">
        <v>119</v>
      </c>
      <c r="G31" s="226"/>
      <c r="H31" s="225"/>
      <c r="I31" s="226" t="s">
        <v>120</v>
      </c>
      <c r="J31" s="226"/>
      <c r="L31" s="226" t="s">
        <v>122</v>
      </c>
      <c r="M31" s="226"/>
      <c r="P31" s="225"/>
      <c r="Q31" s="225"/>
      <c r="U31" s="224"/>
      <c r="W31" s="227" t="s">
        <v>86</v>
      </c>
      <c r="X31" s="228" t="s">
        <v>194</v>
      </c>
      <c r="Y31" s="225"/>
      <c r="Z31" s="233" t="s">
        <v>180</v>
      </c>
      <c r="AA31" s="249">
        <v>4</v>
      </c>
      <c r="AB31" s="225"/>
      <c r="AD31" s="286" t="str">
        <f>'CEO Input'!M9</f>
        <v>Feb</v>
      </c>
      <c r="AE31" s="286">
        <f>COUNTIFS(CEOinput[Won, Lost, Pending],"Won",CEOinput[Running Month],AD31)</f>
        <v>3</v>
      </c>
      <c r="AF31" s="286">
        <f>COUNTIFS(CEOinput[Won, Lost, Pending],"Lost",CEOinput[Running Month],AD31)</f>
        <v>1</v>
      </c>
      <c r="AG31" s="286">
        <f>COUNTIFS(CEOinput[Won, Lost, Pending],"Pending",CEOinput[Running Month],AD31)</f>
        <v>1</v>
      </c>
      <c r="AH31" s="286">
        <f>COUNTIFS(CEOinput[Won, Lost, Pending],"Rejected",CEOinput[Running Month],AD31)</f>
        <v>0</v>
      </c>
      <c r="AI31" s="224"/>
      <c r="AY31" s="263"/>
    </row>
    <row r="32" spans="2:51" s="219" customFormat="1" ht="15.75" thickBot="1" x14ac:dyDescent="0.3">
      <c r="B32" s="233" t="s">
        <v>129</v>
      </c>
      <c r="C32" s="248">
        <v>0.51</v>
      </c>
      <c r="D32" s="225"/>
      <c r="E32" s="225"/>
      <c r="F32" s="227" t="s">
        <v>86</v>
      </c>
      <c r="G32" s="228" t="s">
        <v>106</v>
      </c>
      <c r="H32" s="225"/>
      <c r="I32" s="235" t="s">
        <v>86</v>
      </c>
      <c r="J32" s="228" t="s">
        <v>244</v>
      </c>
      <c r="K32" s="225"/>
      <c r="L32" s="227" t="s">
        <v>86</v>
      </c>
      <c r="M32" s="228" t="s">
        <v>110</v>
      </c>
      <c r="P32" s="225"/>
      <c r="Q32" s="225"/>
      <c r="U32" s="224"/>
      <c r="W32" s="230" t="s">
        <v>191</v>
      </c>
      <c r="X32" s="231">
        <v>0.1111111111111111</v>
      </c>
      <c r="Y32" s="225"/>
      <c r="Z32" s="233" t="s">
        <v>183</v>
      </c>
      <c r="AA32" s="249">
        <v>6</v>
      </c>
      <c r="AB32" s="225"/>
      <c r="AC32" s="225"/>
      <c r="AD32" s="286" t="str">
        <f>'CEO Input'!M10</f>
        <v>Mar</v>
      </c>
      <c r="AE32" s="286">
        <f>COUNTIFS(CEOinput[Won, Lost, Pending],"Won",CEOinput[Running Month],AD32)</f>
        <v>0</v>
      </c>
      <c r="AF32" s="286">
        <f>COUNTIFS(CEOinput[Won, Lost, Pending],"Lost",CEOinput[Running Month],AD32)</f>
        <v>0</v>
      </c>
      <c r="AG32" s="286">
        <f>COUNTIFS(CEOinput[Won, Lost, Pending],"Pending",CEOinput[Running Month],AD32)</f>
        <v>0</v>
      </c>
      <c r="AH32" s="286">
        <f>COUNTIFS(CEOinput[Won, Lost, Pending],"Rejected",CEOinput[Running Month],AD32)</f>
        <v>1</v>
      </c>
      <c r="AI32" s="224"/>
      <c r="AY32" s="263"/>
    </row>
    <row r="33" spans="2:54" s="219" customFormat="1" ht="15.75" thickBot="1" x14ac:dyDescent="0.3">
      <c r="B33" s="233" t="s">
        <v>134</v>
      </c>
      <c r="C33" s="248">
        <v>0.51</v>
      </c>
      <c r="D33" s="225"/>
      <c r="E33" s="225"/>
      <c r="F33" s="230" t="s">
        <v>78</v>
      </c>
      <c r="G33" s="242">
        <v>5</v>
      </c>
      <c r="H33" s="225"/>
      <c r="I33" s="240" t="s">
        <v>79</v>
      </c>
      <c r="J33" s="242">
        <v>5</v>
      </c>
      <c r="K33" s="225"/>
      <c r="L33" s="230" t="s">
        <v>76</v>
      </c>
      <c r="M33" s="242">
        <v>4</v>
      </c>
      <c r="P33" s="225"/>
      <c r="Q33" s="225"/>
      <c r="U33" s="224"/>
      <c r="W33" s="233" t="s">
        <v>192</v>
      </c>
      <c r="X33" s="234">
        <v>0.1111111111111111</v>
      </c>
      <c r="Y33" s="225"/>
      <c r="Z33" s="239" t="s">
        <v>178</v>
      </c>
      <c r="AA33" s="249">
        <v>9</v>
      </c>
      <c r="AB33" s="225"/>
      <c r="AC33" s="225"/>
      <c r="AD33" s="286" t="str">
        <f>'CEO Input'!M11</f>
        <v>Apr</v>
      </c>
      <c r="AE33" s="286">
        <f>COUNTIFS(CEOinput[Won, Lost, Pending],"Won",CEOinput[Running Month],AD33)</f>
        <v>0</v>
      </c>
      <c r="AF33" s="286">
        <f>COUNTIFS(CEOinput[Won, Lost, Pending],"Lost",CEOinput[Running Month],AD33)</f>
        <v>0</v>
      </c>
      <c r="AG33" s="286">
        <f>COUNTIFS(CEOinput[Won, Lost, Pending],"Pending",CEOinput[Running Month],AD33)</f>
        <v>1</v>
      </c>
      <c r="AH33" s="286">
        <f>COUNTIFS(CEOinput[Won, Lost, Pending],"Rejected",CEOinput[Running Month],AD33)</f>
        <v>0</v>
      </c>
      <c r="AI33" s="224"/>
      <c r="AY33" s="263"/>
    </row>
    <row r="34" spans="2:54" s="219" customFormat="1" ht="15.75" thickBot="1" x14ac:dyDescent="0.3">
      <c r="B34" s="233" t="s">
        <v>93</v>
      </c>
      <c r="C34" s="248">
        <v>0.75</v>
      </c>
      <c r="D34" s="225"/>
      <c r="E34" s="225"/>
      <c r="F34" s="233" t="s">
        <v>68</v>
      </c>
      <c r="G34" s="249">
        <v>6</v>
      </c>
      <c r="H34" s="225"/>
      <c r="I34" s="240" t="s">
        <v>81</v>
      </c>
      <c r="J34" s="249">
        <v>4</v>
      </c>
      <c r="K34" s="225"/>
      <c r="L34" s="233" t="s">
        <v>69</v>
      </c>
      <c r="M34" s="249">
        <v>3</v>
      </c>
      <c r="P34" s="225"/>
      <c r="Q34" s="225"/>
      <c r="U34" s="224"/>
      <c r="W34" s="239" t="s">
        <v>193</v>
      </c>
      <c r="X34" s="234">
        <v>0.22222222222222221</v>
      </c>
      <c r="Y34" s="225"/>
      <c r="Z34" s="246" t="s">
        <v>90</v>
      </c>
      <c r="AA34" s="254">
        <v>22</v>
      </c>
      <c r="AB34" s="225"/>
      <c r="AC34" s="225"/>
      <c r="AD34" s="286" t="str">
        <f>'CEO Input'!M12</f>
        <v>May</v>
      </c>
      <c r="AE34" s="286">
        <f>COUNTIFS(CEOinput[Won, Lost, Pending],"Won",CEOinput[Running Month],AD34)</f>
        <v>0</v>
      </c>
      <c r="AF34" s="286">
        <f>COUNTIFS(CEOinput[Won, Lost, Pending],"Lost",CEOinput[Running Month],AD34)</f>
        <v>1</v>
      </c>
      <c r="AG34" s="286">
        <f>COUNTIFS(CEOinput[Won, Lost, Pending],"Pending",CEOinput[Running Month],AD34)</f>
        <v>0</v>
      </c>
      <c r="AH34" s="286">
        <f>COUNTIFS(CEOinput[Won, Lost, Pending],"Rejected",CEOinput[Running Month],AD34)</f>
        <v>0</v>
      </c>
      <c r="AI34" s="224"/>
      <c r="AY34" s="263"/>
    </row>
    <row r="35" spans="2:54" ht="18" customHeight="1" thickBot="1" x14ac:dyDescent="0.3">
      <c r="B35" s="233" t="s">
        <v>113</v>
      </c>
      <c r="C35" s="248">
        <v>0.6</v>
      </c>
      <c r="D35" s="225"/>
      <c r="F35" s="239" t="s">
        <v>67</v>
      </c>
      <c r="G35" s="249">
        <v>1</v>
      </c>
      <c r="H35" s="225"/>
      <c r="I35" s="253" t="s">
        <v>80</v>
      </c>
      <c r="J35" s="249">
        <v>3</v>
      </c>
      <c r="K35" s="225"/>
      <c r="L35" s="239" t="s">
        <v>77</v>
      </c>
      <c r="M35" s="249">
        <v>5</v>
      </c>
      <c r="U35" s="268"/>
      <c r="W35" s="240" t="s">
        <v>239</v>
      </c>
      <c r="X35" s="234">
        <v>0.22222222222222221</v>
      </c>
      <c r="Y35" s="225"/>
      <c r="Z35" s="225"/>
      <c r="AA35" s="225"/>
      <c r="AB35" s="225"/>
      <c r="AC35" s="225"/>
      <c r="AD35" s="286" t="str">
        <f>'CEO Input'!M13</f>
        <v>Jun</v>
      </c>
      <c r="AE35" s="286">
        <f>COUNTIFS(CEOinput[Won, Lost, Pending],"Won",CEOinput[Running Month],AD35)</f>
        <v>0</v>
      </c>
      <c r="AF35" s="286">
        <f>COUNTIFS(CEOinput[Won, Lost, Pending],"Lost",CEOinput[Running Month],AD35)</f>
        <v>0</v>
      </c>
      <c r="AG35" s="286">
        <f>COUNTIFS(CEOinput[Won, Lost, Pending],"Pending",CEOinput[Running Month],AD35)</f>
        <v>0</v>
      </c>
      <c r="AH35" s="286">
        <f>COUNTIFS(CEOinput[Won, Lost, Pending],"Rejected",CEOinput[Running Month],AD35)</f>
        <v>1</v>
      </c>
      <c r="AI35" s="268"/>
      <c r="AL35" s="225"/>
      <c r="AM35" s="225"/>
      <c r="AN35" s="225"/>
      <c r="AY35" s="263"/>
      <c r="AZ35" s="267"/>
      <c r="BA35" s="267"/>
    </row>
    <row r="36" spans="2:54" ht="18" customHeight="1" thickBot="1" x14ac:dyDescent="0.3">
      <c r="B36" s="233" t="s">
        <v>126</v>
      </c>
      <c r="C36" s="248">
        <v>0.18</v>
      </c>
      <c r="D36" s="225"/>
      <c r="F36" s="246" t="s">
        <v>90</v>
      </c>
      <c r="G36" s="254">
        <v>12</v>
      </c>
      <c r="H36" s="225"/>
      <c r="I36" s="246" t="s">
        <v>90</v>
      </c>
      <c r="J36" s="254">
        <v>12</v>
      </c>
      <c r="K36" s="225"/>
      <c r="L36" s="246" t="s">
        <v>90</v>
      </c>
      <c r="M36" s="254">
        <v>12</v>
      </c>
      <c r="U36" s="268"/>
      <c r="W36" s="246" t="s">
        <v>190</v>
      </c>
      <c r="X36" s="234">
        <v>0.33333333333333331</v>
      </c>
      <c r="Y36" s="225"/>
      <c r="Z36" s="225"/>
      <c r="AA36" s="225"/>
      <c r="AB36" s="225"/>
      <c r="AC36" s="225"/>
      <c r="AD36" s="286" t="str">
        <f>'CEO Input'!M14</f>
        <v>Jul</v>
      </c>
      <c r="AE36" s="286">
        <f>COUNTIFS(CEOinput[Won, Lost, Pending],"Won",CEOinput[Running Month],AD36)</f>
        <v>0</v>
      </c>
      <c r="AF36" s="286">
        <f>COUNTIFS(CEOinput[Won, Lost, Pending],"Lost",CEOinput[Running Month],AD36)</f>
        <v>0</v>
      </c>
      <c r="AG36" s="286">
        <f>COUNTIFS(CEOinput[Won, Lost, Pending],"Pending",CEOinput[Running Month],AD36)</f>
        <v>1</v>
      </c>
      <c r="AH36" s="286">
        <f>COUNTIFS(CEOinput[Won, Lost, Pending],"Rejected",CEOinput[Running Month],AD36)</f>
        <v>0</v>
      </c>
      <c r="AI36" s="268"/>
      <c r="AL36" s="225"/>
      <c r="AM36" s="225"/>
      <c r="AN36" s="225"/>
      <c r="AY36" s="263"/>
      <c r="AZ36" s="267"/>
      <c r="BA36" s="267"/>
    </row>
    <row r="37" spans="2:54" ht="18" customHeight="1" thickBot="1" x14ac:dyDescent="0.3">
      <c r="B37" s="233" t="s">
        <v>127</v>
      </c>
      <c r="C37" s="248">
        <v>0.18</v>
      </c>
      <c r="D37" s="225"/>
      <c r="F37" s="225"/>
      <c r="G37" s="225"/>
      <c r="H37" s="225"/>
      <c r="I37" s="225"/>
      <c r="J37" s="225"/>
      <c r="K37" s="225"/>
      <c r="U37" s="268"/>
      <c r="W37" s="246" t="s">
        <v>90</v>
      </c>
      <c r="X37" s="247">
        <v>1</v>
      </c>
      <c r="Y37" s="225"/>
      <c r="Z37" s="225"/>
      <c r="AA37" s="225"/>
      <c r="AB37" s="225"/>
      <c r="AC37" s="225"/>
      <c r="AD37" s="286" t="str">
        <f>'CEO Input'!M15</f>
        <v>Aug</v>
      </c>
      <c r="AE37" s="286">
        <f>COUNTIFS(CEOinput[Won, Lost, Pending],"Won",CEOinput[Running Month],AD37)</f>
        <v>1</v>
      </c>
      <c r="AF37" s="286">
        <f>COUNTIFS(CEOinput[Won, Lost, Pending],"Lost",CEOinput[Running Month],AD37)</f>
        <v>0</v>
      </c>
      <c r="AG37" s="286">
        <f>COUNTIFS(CEOinput[Won, Lost, Pending],"Pending",CEOinput[Running Month],AD37)</f>
        <v>0</v>
      </c>
      <c r="AH37" s="286">
        <f>COUNTIFS(CEOinput[Won, Lost, Pending],"Rejected",CEOinput[Running Month],AD37)</f>
        <v>0</v>
      </c>
      <c r="AI37" s="268"/>
      <c r="AL37" s="225"/>
      <c r="AM37" s="225"/>
      <c r="AN37" s="225"/>
      <c r="AY37" s="263"/>
      <c r="AZ37" s="267"/>
      <c r="BA37" s="267"/>
    </row>
    <row r="38" spans="2:54" ht="18" customHeight="1" thickBot="1" x14ac:dyDescent="0.3">
      <c r="B38" s="233" t="s">
        <v>132</v>
      </c>
      <c r="C38" s="248">
        <v>0.51</v>
      </c>
      <c r="D38" s="225"/>
      <c r="F38" s="226" t="s">
        <v>121</v>
      </c>
      <c r="G38" s="226"/>
      <c r="H38" s="225"/>
      <c r="I38" s="225"/>
      <c r="J38" s="225"/>
      <c r="K38" s="225"/>
      <c r="U38" s="268"/>
      <c r="W38" s="256"/>
      <c r="X38" s="225"/>
      <c r="Y38" s="225"/>
      <c r="Z38" s="225"/>
      <c r="AA38" s="225"/>
      <c r="AB38" s="225"/>
      <c r="AC38" s="225"/>
      <c r="AD38" s="286" t="str">
        <f>'CEO Input'!M16</f>
        <v>Sep</v>
      </c>
      <c r="AE38" s="286">
        <f>COUNTIFS(CEOinput[Won, Lost, Pending],"Won",CEOinput[Running Month],AD38)</f>
        <v>0</v>
      </c>
      <c r="AF38" s="286">
        <f>COUNTIFS(CEOinput[Won, Lost, Pending],"Lost",CEOinput[Running Month],AD38)</f>
        <v>1</v>
      </c>
      <c r="AG38" s="286">
        <f>COUNTIFS(CEOinput[Won, Lost, Pending],"Pending",CEOinput[Running Month],AD38)</f>
        <v>0</v>
      </c>
      <c r="AH38" s="286">
        <f>COUNTIFS(CEOinput[Won, Lost, Pending],"Rejected",CEOinput[Running Month],AD38)</f>
        <v>0</v>
      </c>
      <c r="AI38" s="268"/>
      <c r="AL38" s="225"/>
      <c r="AM38" s="225"/>
      <c r="AN38" s="225"/>
      <c r="AY38" s="263"/>
      <c r="AZ38" s="267"/>
      <c r="BA38" s="267"/>
    </row>
    <row r="39" spans="2:54" ht="18" customHeight="1" thickBot="1" x14ac:dyDescent="0.3">
      <c r="B39" s="233" t="s">
        <v>137</v>
      </c>
      <c r="C39" s="248">
        <v>0.38250000000000001</v>
      </c>
      <c r="F39" s="227" t="s">
        <v>86</v>
      </c>
      <c r="G39" s="228" t="s">
        <v>104</v>
      </c>
      <c r="H39" s="225"/>
      <c r="I39" s="225"/>
      <c r="J39" s="225"/>
      <c r="K39" s="225"/>
      <c r="U39" s="268"/>
      <c r="W39" s="256"/>
      <c r="X39" s="225"/>
      <c r="Y39" s="225"/>
      <c r="Z39" s="225"/>
      <c r="AA39" s="225"/>
      <c r="AB39" s="225"/>
      <c r="AC39" s="225"/>
      <c r="AD39" s="286" t="str">
        <f>'CEO Input'!M17</f>
        <v>Oct</v>
      </c>
      <c r="AE39" s="286">
        <f>COUNTIFS(CEOinput[Won, Lost, Pending],"Won",CEOinput[Running Month],AD39)</f>
        <v>1</v>
      </c>
      <c r="AF39" s="286">
        <f>COUNTIFS(CEOinput[Won, Lost, Pending],"Lost",CEOinput[Running Month],AD39)</f>
        <v>0</v>
      </c>
      <c r="AG39" s="286">
        <f>COUNTIFS(CEOinput[Won, Lost, Pending],"Pending",CEOinput[Running Month],AD39)</f>
        <v>0</v>
      </c>
      <c r="AH39" s="286">
        <f>COUNTIFS(CEOinput[Won, Lost, Pending],"Rejected",CEOinput[Running Month],AD39)</f>
        <v>0</v>
      </c>
      <c r="AI39" s="268"/>
      <c r="AL39" s="225"/>
      <c r="AM39" s="225"/>
      <c r="AN39" s="225"/>
      <c r="AY39" s="263"/>
      <c r="AZ39" s="267"/>
      <c r="BA39" s="267"/>
    </row>
    <row r="40" spans="2:54" ht="18" customHeight="1" x14ac:dyDescent="0.25">
      <c r="B40" s="233" t="s">
        <v>82</v>
      </c>
      <c r="C40" s="248">
        <v>0.18</v>
      </c>
      <c r="F40" s="230" t="s">
        <v>101</v>
      </c>
      <c r="G40" s="242">
        <v>4</v>
      </c>
      <c r="H40" s="225"/>
      <c r="I40" s="225"/>
      <c r="J40" s="225"/>
      <c r="K40" s="225"/>
      <c r="U40" s="268"/>
      <c r="W40" s="256"/>
      <c r="Z40" s="225"/>
      <c r="AA40" s="225"/>
      <c r="AB40" s="225"/>
      <c r="AC40" s="225"/>
      <c r="AD40" s="286" t="str">
        <f>'CEO Input'!M18</f>
        <v>Nov</v>
      </c>
      <c r="AE40" s="286">
        <f>COUNTIFS(CEOinput[Won, Lost, Pending],"Won",CEOinput[Running Month],AD40)</f>
        <v>0</v>
      </c>
      <c r="AF40" s="286">
        <f>COUNTIFS(CEOinput[Won, Lost, Pending],"Lost",CEOinput[Running Month],AD40)</f>
        <v>0</v>
      </c>
      <c r="AG40" s="286">
        <f>COUNTIFS(CEOinput[Won, Lost, Pending],"Pending",CEOinput[Running Month],AD40)</f>
        <v>0</v>
      </c>
      <c r="AH40" s="286">
        <f>COUNTIFS(CEOinput[Won, Lost, Pending],"Rejected",CEOinput[Running Month],AD40)</f>
        <v>1</v>
      </c>
      <c r="AI40" s="268"/>
      <c r="AL40" s="225"/>
      <c r="AM40" s="225"/>
      <c r="AN40" s="225"/>
      <c r="AY40" s="263"/>
      <c r="AZ40" s="267"/>
      <c r="BA40" s="267"/>
    </row>
    <row r="41" spans="2:54" ht="18" customHeight="1" x14ac:dyDescent="0.25">
      <c r="B41" s="233" t="s">
        <v>114</v>
      </c>
      <c r="C41" s="248">
        <v>0.38250000000000001</v>
      </c>
      <c r="F41" s="233" t="s">
        <v>102</v>
      </c>
      <c r="G41" s="249">
        <v>3</v>
      </c>
      <c r="H41" s="225"/>
      <c r="I41" s="225"/>
      <c r="J41" s="225"/>
      <c r="K41" s="225"/>
      <c r="U41" s="268"/>
      <c r="W41" s="256"/>
      <c r="Z41" s="225"/>
      <c r="AA41" s="225"/>
      <c r="AB41" s="225"/>
      <c r="AC41" s="225"/>
      <c r="AD41" s="286" t="str">
        <f>'CEO Input'!M19</f>
        <v>Dec</v>
      </c>
      <c r="AE41" s="286">
        <f>COUNTIFS(CEOinput[Won, Lost, Pending],"Won",CEOinput[Running Month],AD41)</f>
        <v>1</v>
      </c>
      <c r="AF41" s="286">
        <f>COUNTIFS(CEOinput[Won, Lost, Pending],"Lost",CEOinput[Running Month],AD41)</f>
        <v>0</v>
      </c>
      <c r="AG41" s="286">
        <f>COUNTIFS(CEOinput[Won, Lost, Pending],"Pending",CEOinput[Running Month],AD41)</f>
        <v>0</v>
      </c>
      <c r="AH41" s="286">
        <f>COUNTIFS(CEOinput[Won, Lost, Pending],"Rejected",CEOinput[Running Month],AD41)</f>
        <v>0</v>
      </c>
      <c r="AI41" s="268"/>
      <c r="AL41" s="225"/>
      <c r="AM41" s="225"/>
      <c r="AN41" s="225"/>
      <c r="AY41" s="263"/>
      <c r="AZ41" s="267"/>
      <c r="BA41" s="267"/>
    </row>
    <row r="42" spans="2:54" ht="18" customHeight="1" thickBot="1" x14ac:dyDescent="0.3">
      <c r="B42" s="233" t="s">
        <v>125</v>
      </c>
      <c r="C42" s="248">
        <v>0.38250000000000001</v>
      </c>
      <c r="F42" s="239" t="s">
        <v>103</v>
      </c>
      <c r="G42" s="249">
        <v>5</v>
      </c>
      <c r="H42" s="225"/>
      <c r="I42" s="225"/>
      <c r="J42" s="225"/>
      <c r="K42" s="225"/>
      <c r="U42" s="268"/>
      <c r="W42" s="269"/>
      <c r="Z42" s="225"/>
      <c r="AA42" s="225"/>
      <c r="AB42" s="225"/>
      <c r="AC42" s="225"/>
      <c r="AD42" s="287" t="s">
        <v>232</v>
      </c>
      <c r="AE42" s="288">
        <f>SUM(AE30:AE41)</f>
        <v>9</v>
      </c>
      <c r="AF42" s="288">
        <f>SUM(AF30:AF41)</f>
        <v>3</v>
      </c>
      <c r="AG42" s="288">
        <f t="shared" ref="AG42:AH42" si="0">SUM(AG30:AG41)</f>
        <v>4</v>
      </c>
      <c r="AH42" s="288">
        <f t="shared" si="0"/>
        <v>6</v>
      </c>
      <c r="AI42" s="268"/>
      <c r="AL42" s="225"/>
      <c r="AM42" s="225"/>
      <c r="AN42" s="225"/>
      <c r="AY42" s="263"/>
      <c r="AZ42" s="267"/>
      <c r="BA42" s="267"/>
    </row>
    <row r="43" spans="2:54" ht="18" customHeight="1" thickBot="1" x14ac:dyDescent="0.3">
      <c r="B43" s="239" t="s">
        <v>115</v>
      </c>
      <c r="C43" s="248">
        <v>0.18</v>
      </c>
      <c r="F43" s="246" t="s">
        <v>90</v>
      </c>
      <c r="G43" s="254">
        <v>12</v>
      </c>
      <c r="H43" s="225"/>
      <c r="I43" s="225"/>
      <c r="J43" s="225"/>
      <c r="K43" s="225"/>
      <c r="U43" s="268"/>
      <c r="W43" s="256"/>
      <c r="X43" s="225"/>
      <c r="Y43" s="225"/>
      <c r="Z43" s="225"/>
      <c r="AA43" s="225"/>
      <c r="AB43" s="225"/>
      <c r="AC43" s="225"/>
      <c r="AD43" s="225"/>
      <c r="AI43" s="268"/>
      <c r="AL43" s="225"/>
      <c r="AM43" s="225"/>
      <c r="AN43" s="225"/>
      <c r="AY43" s="263"/>
      <c r="AZ43" s="267"/>
      <c r="BA43" s="267"/>
    </row>
    <row r="44" spans="2:54" ht="18" customHeight="1" thickBot="1" x14ac:dyDescent="0.3">
      <c r="B44" s="246" t="s">
        <v>90</v>
      </c>
      <c r="C44" s="255">
        <v>9.067499999999999</v>
      </c>
      <c r="F44" s="225"/>
      <c r="G44" s="225"/>
      <c r="H44" s="225"/>
      <c r="I44" s="225"/>
      <c r="J44" s="225"/>
      <c r="K44" s="225"/>
      <c r="U44" s="268"/>
      <c r="W44" s="256"/>
      <c r="X44" s="225"/>
      <c r="Y44" s="225"/>
      <c r="Z44" s="225"/>
      <c r="AA44" s="225"/>
      <c r="AB44" s="225"/>
      <c r="AC44" s="225"/>
      <c r="AD44" s="225"/>
      <c r="AI44" s="268"/>
      <c r="AL44" s="225"/>
      <c r="AM44" s="225"/>
      <c r="AN44" s="225"/>
      <c r="AY44" s="263"/>
      <c r="AZ44" s="267"/>
      <c r="BA44" s="267"/>
    </row>
    <row r="45" spans="2:54" ht="18" customHeight="1" x14ac:dyDescent="0.25">
      <c r="B45" s="256"/>
      <c r="C45" s="225"/>
      <c r="F45" s="225"/>
      <c r="G45" s="225"/>
      <c r="H45" s="225"/>
      <c r="I45" s="225"/>
      <c r="J45" s="225"/>
      <c r="K45" s="225"/>
      <c r="L45" s="211" t="s">
        <v>246</v>
      </c>
      <c r="M45" s="212"/>
      <c r="N45" s="212"/>
      <c r="O45" s="212"/>
      <c r="P45" s="212"/>
      <c r="Q45" s="212"/>
      <c r="R45" s="212"/>
      <c r="S45" s="212"/>
      <c r="T45" s="212"/>
      <c r="U45" s="213"/>
      <c r="W45" s="216" t="s">
        <v>245</v>
      </c>
      <c r="X45" s="212"/>
      <c r="Y45" s="212"/>
      <c r="Z45" s="212"/>
      <c r="AA45" s="212"/>
      <c r="AB45" s="212"/>
      <c r="AC45" s="212"/>
      <c r="AD45" s="212"/>
      <c r="AE45" s="213"/>
      <c r="AF45" s="225"/>
      <c r="AG45" s="225"/>
      <c r="AI45" s="268"/>
      <c r="BB45" s="263"/>
    </row>
    <row r="46" spans="2:54" ht="18" customHeight="1" x14ac:dyDescent="0.25">
      <c r="B46" s="256"/>
      <c r="C46" s="225"/>
      <c r="F46" s="225"/>
      <c r="G46" s="225"/>
      <c r="H46" s="225"/>
      <c r="I46" s="225"/>
      <c r="J46" s="225"/>
      <c r="K46" s="225"/>
      <c r="L46" s="212"/>
      <c r="M46" s="212"/>
      <c r="N46" s="212"/>
      <c r="O46" s="212"/>
      <c r="P46" s="212"/>
      <c r="Q46" s="212"/>
      <c r="R46" s="212"/>
      <c r="S46" s="212"/>
      <c r="T46" s="212"/>
      <c r="U46" s="213"/>
      <c r="W46" s="217"/>
      <c r="X46" s="212"/>
      <c r="Y46" s="212"/>
      <c r="Z46" s="212"/>
      <c r="AA46" s="212"/>
      <c r="AB46" s="212"/>
      <c r="AC46" s="212"/>
      <c r="AD46" s="212"/>
      <c r="AE46" s="213"/>
      <c r="AF46" s="225"/>
      <c r="AI46" s="268"/>
    </row>
    <row r="47" spans="2:54" ht="18" customHeight="1" x14ac:dyDescent="0.25">
      <c r="B47" s="256"/>
      <c r="C47" s="225"/>
      <c r="F47" s="225"/>
      <c r="G47" s="225"/>
      <c r="H47" s="225"/>
      <c r="I47" s="225"/>
      <c r="J47" s="225"/>
      <c r="K47" s="225"/>
      <c r="L47" s="212"/>
      <c r="M47" s="212"/>
      <c r="N47" s="212"/>
      <c r="O47" s="212"/>
      <c r="P47" s="212"/>
      <c r="Q47" s="212"/>
      <c r="R47" s="212"/>
      <c r="S47" s="212"/>
      <c r="T47" s="212"/>
      <c r="U47" s="213"/>
      <c r="W47" s="217"/>
      <c r="X47" s="212"/>
      <c r="Y47" s="212"/>
      <c r="Z47" s="212"/>
      <c r="AA47" s="212"/>
      <c r="AB47" s="212"/>
      <c r="AC47" s="212"/>
      <c r="AD47" s="212"/>
      <c r="AE47" s="213"/>
      <c r="AI47" s="268"/>
    </row>
    <row r="48" spans="2:54" ht="18" customHeight="1" x14ac:dyDescent="0.25">
      <c r="B48" s="256"/>
      <c r="C48" s="225"/>
      <c r="F48" s="225"/>
      <c r="G48" s="225"/>
      <c r="H48" s="225"/>
      <c r="I48" s="225"/>
      <c r="J48" s="225"/>
      <c r="K48" s="225"/>
      <c r="L48" s="212"/>
      <c r="M48" s="212"/>
      <c r="N48" s="212"/>
      <c r="O48" s="212"/>
      <c r="P48" s="212"/>
      <c r="Q48" s="212"/>
      <c r="R48" s="212"/>
      <c r="S48" s="212"/>
      <c r="T48" s="212"/>
      <c r="U48" s="213"/>
      <c r="W48" s="217"/>
      <c r="X48" s="212"/>
      <c r="Y48" s="212"/>
      <c r="Z48" s="212"/>
      <c r="AA48" s="212"/>
      <c r="AB48" s="212"/>
      <c r="AC48" s="212"/>
      <c r="AD48" s="212"/>
      <c r="AE48" s="213"/>
      <c r="AI48" s="268"/>
    </row>
    <row r="49" spans="2:35" ht="18" customHeight="1" thickBot="1" x14ac:dyDescent="0.3">
      <c r="B49" s="270"/>
      <c r="C49" s="271"/>
      <c r="D49" s="272"/>
      <c r="E49" s="272"/>
      <c r="F49" s="271"/>
      <c r="G49" s="271"/>
      <c r="H49" s="271"/>
      <c r="I49" s="271"/>
      <c r="J49" s="271"/>
      <c r="K49" s="271"/>
      <c r="L49" s="214"/>
      <c r="M49" s="214"/>
      <c r="N49" s="214"/>
      <c r="O49" s="214"/>
      <c r="P49" s="214"/>
      <c r="Q49" s="214"/>
      <c r="R49" s="214"/>
      <c r="S49" s="214"/>
      <c r="T49" s="214"/>
      <c r="U49" s="215"/>
      <c r="W49" s="218"/>
      <c r="X49" s="214"/>
      <c r="Y49" s="214"/>
      <c r="Z49" s="214"/>
      <c r="AA49" s="214"/>
      <c r="AB49" s="214"/>
      <c r="AC49" s="214"/>
      <c r="AD49" s="214"/>
      <c r="AE49" s="215"/>
      <c r="AF49" s="272"/>
      <c r="AG49" s="272"/>
      <c r="AH49" s="272"/>
      <c r="AI49" s="273"/>
    </row>
    <row r="50" spans="2:35" ht="18" customHeight="1" x14ac:dyDescent="0.25">
      <c r="B50" s="225"/>
      <c r="C50" s="225"/>
      <c r="F50" s="225"/>
      <c r="G50" s="225"/>
      <c r="H50" s="225"/>
      <c r="I50" s="225"/>
      <c r="J50" s="225"/>
      <c r="K50" s="225"/>
      <c r="W50" s="225"/>
      <c r="X50" s="225"/>
      <c r="Y50" s="225"/>
      <c r="Z50" s="225"/>
      <c r="AA50" s="225"/>
      <c r="AB50" s="225"/>
    </row>
    <row r="51" spans="2:35" ht="18" customHeight="1" x14ac:dyDescent="0.25">
      <c r="B51" s="225"/>
      <c r="C51" s="225"/>
      <c r="F51" s="225"/>
      <c r="G51" s="225"/>
      <c r="H51" s="225"/>
      <c r="I51" s="225"/>
      <c r="J51" s="225"/>
      <c r="K51" s="225"/>
      <c r="W51" s="225"/>
      <c r="X51" s="225"/>
      <c r="Y51" s="225"/>
      <c r="Z51" s="225"/>
      <c r="AA51" s="225"/>
      <c r="AB51" s="225"/>
    </row>
    <row r="52" spans="2:35" ht="18" customHeight="1" x14ac:dyDescent="0.25">
      <c r="B52" s="225"/>
      <c r="C52" s="225"/>
      <c r="F52" s="225"/>
      <c r="G52" s="225"/>
      <c r="H52" s="225"/>
      <c r="I52" s="225"/>
      <c r="J52" s="225"/>
      <c r="K52" s="225"/>
      <c r="W52" s="225"/>
      <c r="X52" s="225"/>
      <c r="Y52" s="225"/>
      <c r="Z52" s="225"/>
      <c r="AA52" s="225"/>
      <c r="AB52" s="225"/>
    </row>
    <row r="53" spans="2:35" ht="18" customHeight="1" x14ac:dyDescent="0.25">
      <c r="B53" s="225"/>
      <c r="C53" s="225"/>
      <c r="F53" s="225"/>
      <c r="G53" s="225"/>
      <c r="H53" s="225"/>
      <c r="I53" s="225"/>
      <c r="J53" s="225"/>
      <c r="K53" s="225"/>
      <c r="W53" s="225"/>
      <c r="X53" s="225"/>
      <c r="Y53" s="225"/>
      <c r="Z53" s="225"/>
      <c r="AA53" s="225"/>
      <c r="AB53" s="225"/>
    </row>
    <row r="54" spans="2:35" ht="18" customHeight="1" x14ac:dyDescent="0.25">
      <c r="B54" s="225"/>
      <c r="C54" s="225"/>
      <c r="F54" s="225"/>
      <c r="G54" s="225"/>
      <c r="H54" s="225"/>
      <c r="I54" s="225"/>
      <c r="J54" s="225"/>
      <c r="K54" s="225"/>
      <c r="W54" s="225"/>
      <c r="X54" s="225"/>
      <c r="Y54" s="225"/>
      <c r="Z54" s="225"/>
      <c r="AA54" s="225"/>
      <c r="AB54" s="225"/>
    </row>
    <row r="55" spans="2:35" ht="18" customHeight="1" x14ac:dyDescent="0.25">
      <c r="B55" s="225"/>
      <c r="C55" s="225"/>
      <c r="F55" s="225"/>
      <c r="G55" s="225"/>
      <c r="H55" s="225"/>
      <c r="I55" s="225"/>
      <c r="J55" s="225"/>
      <c r="K55" s="225"/>
      <c r="W55" s="225"/>
      <c r="X55" s="225"/>
      <c r="Y55" s="225"/>
      <c r="Z55" s="225"/>
      <c r="AA55" s="225"/>
      <c r="AB55" s="225"/>
    </row>
    <row r="56" spans="2:35" ht="18" customHeight="1" x14ac:dyDescent="0.25">
      <c r="B56" s="225"/>
      <c r="C56" s="225"/>
      <c r="F56" s="225"/>
      <c r="G56" s="225"/>
      <c r="H56" s="225"/>
      <c r="I56" s="225"/>
      <c r="J56" s="225"/>
      <c r="K56" s="225"/>
      <c r="W56" s="225"/>
      <c r="X56" s="225"/>
      <c r="Y56" s="225"/>
      <c r="Z56" s="225"/>
      <c r="AA56" s="225"/>
      <c r="AB56" s="225"/>
    </row>
    <row r="57" spans="2:35" ht="18" customHeight="1" x14ac:dyDescent="0.25">
      <c r="B57" s="225"/>
      <c r="C57" s="225"/>
      <c r="W57" s="225"/>
      <c r="X57" s="225"/>
      <c r="Y57" s="225"/>
      <c r="Z57" s="225"/>
      <c r="AA57" s="225"/>
      <c r="AB57" s="225"/>
    </row>
    <row r="58" spans="2:35" ht="18" customHeight="1" x14ac:dyDescent="0.25">
      <c r="B58" s="225"/>
      <c r="C58" s="225"/>
      <c r="W58" s="225"/>
      <c r="X58" s="225"/>
      <c r="Y58" s="225"/>
      <c r="Z58" s="225"/>
      <c r="AA58" s="225"/>
      <c r="AB58" s="225"/>
    </row>
    <row r="59" spans="2:35" ht="18" customHeight="1" x14ac:dyDescent="0.25">
      <c r="B59" s="225"/>
      <c r="C59" s="225"/>
      <c r="W59" s="225"/>
      <c r="X59" s="225"/>
      <c r="Y59" s="225"/>
      <c r="Z59" s="225"/>
      <c r="AA59" s="225"/>
      <c r="AB59" s="225"/>
    </row>
    <row r="60" spans="2:35" ht="18" customHeight="1" x14ac:dyDescent="0.25">
      <c r="B60" s="225"/>
      <c r="C60" s="225"/>
      <c r="W60" s="225"/>
      <c r="X60" s="225"/>
      <c r="Y60" s="225"/>
      <c r="Z60" s="225"/>
      <c r="AA60" s="225"/>
      <c r="AB60" s="225"/>
    </row>
    <row r="61" spans="2:35" ht="18" customHeight="1" x14ac:dyDescent="0.25">
      <c r="B61" s="225"/>
      <c r="C61" s="225"/>
      <c r="Z61" s="225"/>
      <c r="AA61" s="225"/>
      <c r="AB61" s="225"/>
    </row>
    <row r="62" spans="2:35" ht="18" customHeight="1" x14ac:dyDescent="0.25">
      <c r="B62" s="225"/>
      <c r="C62" s="225"/>
      <c r="Z62" s="225"/>
      <c r="AA62" s="225"/>
      <c r="AB62" s="225"/>
    </row>
    <row r="63" spans="2:35" ht="18" customHeight="1" x14ac:dyDescent="0.25">
      <c r="B63" s="225"/>
      <c r="C63" s="225"/>
      <c r="Z63" s="225"/>
      <c r="AA63" s="225"/>
      <c r="AB63" s="225"/>
    </row>
    <row r="64" spans="2:35" ht="18" customHeight="1" x14ac:dyDescent="0.25">
      <c r="B64" s="225"/>
      <c r="C64" s="225"/>
    </row>
    <row r="65" spans="2:3" ht="18" customHeight="1" x14ac:dyDescent="0.25">
      <c r="B65" s="225"/>
      <c r="C65" s="225"/>
    </row>
    <row r="66" spans="2:3" ht="18" customHeight="1" x14ac:dyDescent="0.25">
      <c r="B66" s="225"/>
      <c r="C66" s="225"/>
    </row>
    <row r="67" spans="2:3" ht="18" customHeight="1" x14ac:dyDescent="0.25">
      <c r="B67" s="225"/>
      <c r="C67" s="225"/>
    </row>
    <row r="68" spans="2:3" ht="18" customHeight="1" x14ac:dyDescent="0.25">
      <c r="B68" s="225"/>
      <c r="C68" s="225"/>
    </row>
  </sheetData>
  <sheetProtection algorithmName="SHA-512" hashValue="xPmkSnMZPfDA/eXup5YrcSE7X9agjPTrP4WwwbKUCXlWg3bq4MnASfisJatZTV3b1g5Sb1UFfvM1+bROil6GSA==" saltValue="F5WAni+dtQP/s8S7tqbdrg==" spinCount="100000" sheet="1" objects="1" scenarios="1"/>
  <dataConsolidate/>
  <mergeCells count="22">
    <mergeCell ref="W45:AE49"/>
    <mergeCell ref="B20:C20"/>
    <mergeCell ref="B9:C9"/>
    <mergeCell ref="F9:G9"/>
    <mergeCell ref="F16:J16"/>
    <mergeCell ref="I9:J9"/>
    <mergeCell ref="S9:T9"/>
    <mergeCell ref="F31:G31"/>
    <mergeCell ref="F38:G38"/>
    <mergeCell ref="L31:M31"/>
    <mergeCell ref="I31:J31"/>
    <mergeCell ref="P9:Q9"/>
    <mergeCell ref="F23:N23"/>
    <mergeCell ref="AD28:AH28"/>
    <mergeCell ref="L45:U49"/>
    <mergeCell ref="AG6:AH6"/>
    <mergeCell ref="Z9:AB9"/>
    <mergeCell ref="Z28:AA28"/>
    <mergeCell ref="W28:X28"/>
    <mergeCell ref="W9:X9"/>
    <mergeCell ref="AD8:AE8"/>
    <mergeCell ref="AD9:AE9"/>
  </mergeCells>
  <phoneticPr fontId="11" type="noConversion"/>
  <pageMargins left="0.75" right="0.75" top="1" bottom="1" header="0.5" footer="0.5"/>
  <pageSetup paperSize="8" scale="10" orientation="portrait" r:id="rId20"/>
  <ignoredErrors>
    <ignoredError sqref="H27"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20395-C493-41C6-A82F-89F9BCDEF898}">
  <sheetPr codeName="Sheet3">
    <tabColor theme="1"/>
  </sheetPr>
  <dimension ref="A1"/>
  <sheetViews>
    <sheetView showGridLines="0" zoomScaleNormal="100" zoomScaleSheetLayoutView="100" workbookViewId="0">
      <selection activeCell="E24" sqref="E24"/>
    </sheetView>
  </sheetViews>
  <sheetFormatPr defaultColWidth="10.7109375" defaultRowHeight="18" customHeight="1" x14ac:dyDescent="0.25"/>
  <cols>
    <col min="1" max="16384" width="10.7109375" style="31"/>
  </cols>
  <sheetData/>
  <pageMargins left="0.7" right="0.7" top="0.75" bottom="0.75" header="0.3" footer="0.3"/>
  <pageSetup paperSize="9" scale="36"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C00000"/>
    <pageSetUpPr autoPageBreaks="0"/>
  </sheetPr>
  <dimension ref="C1:T35"/>
  <sheetViews>
    <sheetView showGridLines="0" zoomScale="70" zoomScaleNormal="70" zoomScaleSheetLayoutView="85" workbookViewId="0">
      <selection activeCell="N12" sqref="N12"/>
    </sheetView>
  </sheetViews>
  <sheetFormatPr defaultColWidth="20.7109375" defaultRowHeight="30" customHeight="1" x14ac:dyDescent="0.25"/>
  <cols>
    <col min="1" max="1" width="3.42578125" style="56" customWidth="1"/>
    <col min="2" max="2" width="2.42578125" style="56" customWidth="1"/>
    <col min="3" max="3" width="53" style="56" bestFit="1" customWidth="1"/>
    <col min="4" max="4" width="38.42578125" style="56" customWidth="1"/>
    <col min="5" max="5" width="4.7109375" style="56" customWidth="1"/>
    <col min="6" max="6" width="13" style="56" customWidth="1"/>
    <col min="7" max="7" width="36.140625" style="56" customWidth="1"/>
    <col min="8" max="8" width="20.7109375" style="56" customWidth="1"/>
    <col min="9" max="9" width="19.7109375" style="56" customWidth="1"/>
    <col min="10" max="10" width="18.85546875" style="56" customWidth="1"/>
    <col min="11" max="11" width="28.28515625" style="56" customWidth="1"/>
    <col min="12" max="12" width="20.140625" style="56" customWidth="1"/>
    <col min="13" max="13" width="11.42578125" style="56" customWidth="1"/>
    <col min="14" max="14" width="21.140625" style="56" customWidth="1"/>
    <col min="15" max="15" width="26.7109375" style="56" customWidth="1"/>
    <col min="16" max="16" width="22.7109375" style="56" bestFit="1" customWidth="1"/>
    <col min="17" max="17" width="24.28515625" style="56" bestFit="1" customWidth="1"/>
    <col min="18" max="18" width="21.85546875" style="56" customWidth="1"/>
    <col min="19" max="19" width="20.7109375" style="56"/>
    <col min="20" max="20" width="21" style="56" bestFit="1" customWidth="1"/>
    <col min="21" max="16384" width="20.7109375" style="56"/>
  </cols>
  <sheetData>
    <row r="1" spans="3:20" s="53" customFormat="1" ht="10.5" customHeight="1" x14ac:dyDescent="0.25"/>
    <row r="2" spans="3:20" s="53" customFormat="1" ht="12.75" customHeight="1" thickBot="1" x14ac:dyDescent="0.3"/>
    <row r="3" spans="3:20" s="53" customFormat="1" ht="26.25" customHeight="1" x14ac:dyDescent="0.25">
      <c r="C3" s="182" t="e" vm="2">
        <v>#VALUE!</v>
      </c>
      <c r="D3" s="183"/>
      <c r="F3" s="178"/>
      <c r="G3" s="178"/>
      <c r="H3" s="178"/>
      <c r="I3" s="178"/>
      <c r="J3" s="178"/>
      <c r="K3" s="178"/>
      <c r="L3" s="72"/>
      <c r="N3" s="178" t="s">
        <v>169</v>
      </c>
      <c r="O3" s="178"/>
      <c r="P3" s="178"/>
      <c r="Q3" s="178"/>
      <c r="R3" s="178"/>
      <c r="S3" s="178"/>
    </row>
    <row r="4" spans="3:20" s="53" customFormat="1" ht="26.25" customHeight="1" x14ac:dyDescent="0.25">
      <c r="C4" s="184"/>
      <c r="D4" s="185"/>
      <c r="F4" s="178"/>
      <c r="G4" s="178"/>
      <c r="H4" s="178"/>
      <c r="I4" s="178"/>
      <c r="J4" s="178"/>
      <c r="K4" s="178"/>
      <c r="L4" s="72"/>
      <c r="N4" s="178"/>
      <c r="O4" s="178"/>
      <c r="P4" s="178"/>
      <c r="Q4" s="178"/>
      <c r="R4" s="178"/>
      <c r="S4" s="178"/>
    </row>
    <row r="5" spans="3:20" s="53" customFormat="1" ht="26.25" customHeight="1" thickBot="1" x14ac:dyDescent="0.3">
      <c r="C5" s="186"/>
      <c r="D5" s="187"/>
      <c r="F5" s="178"/>
      <c r="G5" s="178"/>
      <c r="H5" s="178"/>
      <c r="I5" s="178"/>
      <c r="J5" s="178"/>
      <c r="K5" s="178"/>
      <c r="L5" s="72"/>
      <c r="N5" s="178"/>
      <c r="O5" s="178"/>
      <c r="P5" s="178"/>
      <c r="Q5" s="178"/>
      <c r="R5" s="178"/>
      <c r="S5" s="178"/>
    </row>
    <row r="6" spans="3:20" s="53" customFormat="1" ht="12.75" customHeight="1" x14ac:dyDescent="0.25"/>
    <row r="7" spans="3:20" s="53" customFormat="1" ht="75" customHeight="1" x14ac:dyDescent="0.25">
      <c r="C7" s="178">
        <f ca="1">NOW()</f>
        <v>46127.532568981478</v>
      </c>
      <c r="D7" s="181"/>
      <c r="F7" s="54" t="s">
        <v>168</v>
      </c>
      <c r="G7" s="54" t="s">
        <v>0</v>
      </c>
      <c r="H7" s="54" t="s">
        <v>4</v>
      </c>
      <c r="I7" s="54" t="s">
        <v>170</v>
      </c>
      <c r="J7" s="54" t="s">
        <v>167</v>
      </c>
      <c r="K7" s="54" t="s">
        <v>166</v>
      </c>
      <c r="L7" s="54" t="s">
        <v>186</v>
      </c>
      <c r="M7" s="66" t="s">
        <v>171</v>
      </c>
      <c r="N7" s="54" t="s">
        <v>139</v>
      </c>
      <c r="O7" s="54" t="s">
        <v>173</v>
      </c>
      <c r="P7" s="54" t="s">
        <v>8</v>
      </c>
      <c r="Q7" s="54" t="s">
        <v>3</v>
      </c>
      <c r="R7" s="54" t="s">
        <v>205</v>
      </c>
      <c r="S7" s="54" t="s">
        <v>196</v>
      </c>
    </row>
    <row r="8" spans="3:20" ht="26.25" customHeight="1" thickBot="1" x14ac:dyDescent="0.3">
      <c r="F8" s="57" cm="1">
        <f t="array" ref="F8:F29">_xlfn.SEQUENCE(COUNTA(G$8:G$1048576))</f>
        <v>1</v>
      </c>
      <c r="G8" s="57" t="str">
        <f>IF(Input!D10=0,"",Input!D10)</f>
        <v>Al Rimal</v>
      </c>
      <c r="H8" s="57">
        <f>IF(Input!AT10=0,"",Input!AT10)</f>
        <v>51</v>
      </c>
      <c r="I8" s="57" t="str">
        <f>IF(Input!AU10=0,"",Input!AU10)</f>
        <v>HIGH</v>
      </c>
      <c r="J8" s="57" t="str">
        <f>IF(Input!AV10=0,"",Input!AV10)</f>
        <v>NO GO</v>
      </c>
      <c r="K8" s="58">
        <f>IF(Input!AW10=0,"",Input!AW10)</f>
        <v>0.18</v>
      </c>
      <c r="L8" s="58" t="str">
        <f>IF(Input!AY10=0,"",Input!AY10)</f>
        <v>Rejected</v>
      </c>
      <c r="M8" s="93" t="s">
        <v>215</v>
      </c>
      <c r="N8" s="91" t="str">
        <f>IF(Input!N10=0,"",Input!N10)</f>
        <v>Jan</v>
      </c>
      <c r="O8" s="92" t="str">
        <f>IF(Input!E10=0,"",Input!E10)</f>
        <v>Riyadh</v>
      </c>
      <c r="P8" s="67">
        <v>800000</v>
      </c>
      <c r="Q8" s="67">
        <f>IF(Input!G10=0,"",Input!G10)</f>
        <v>1000000</v>
      </c>
      <c r="R8" s="67">
        <v>1010000</v>
      </c>
      <c r="S8" s="57" t="s">
        <v>197</v>
      </c>
    </row>
    <row r="9" spans="3:20" ht="30" customHeight="1" x14ac:dyDescent="0.25">
      <c r="C9" s="46" t="s">
        <v>61</v>
      </c>
      <c r="D9" s="47">
        <f>COUNTA(Input!D10:D31)</f>
        <v>22</v>
      </c>
      <c r="F9" s="57">
        <v>2</v>
      </c>
      <c r="G9" s="57" t="str">
        <f>IF(Input!D11=0,"",Input!D11)</f>
        <v>Al Qasim</v>
      </c>
      <c r="H9" s="57">
        <f>IF(Input!AT11=0,"",Input!AT11)</f>
        <v>135</v>
      </c>
      <c r="I9" s="57" t="str">
        <f>IF(Input!AU11=0,"",Input!AU11)</f>
        <v>LOW</v>
      </c>
      <c r="J9" s="57" t="str">
        <f>IF(Input!AV11=0,"",Input!AV11)</f>
        <v>GO</v>
      </c>
      <c r="K9" s="58">
        <f>IF(Input!AW11=0,"",Input!AW11)</f>
        <v>0.75</v>
      </c>
      <c r="L9" s="86" t="str">
        <f>IF(Input!AY11=0,"",Input!AY11)</f>
        <v>Won</v>
      </c>
      <c r="M9" s="93" t="s">
        <v>216</v>
      </c>
      <c r="N9" s="91" t="str">
        <f>IF(Input!N11=0,"",Input!N11)</f>
        <v>Jan</v>
      </c>
      <c r="O9" s="92" t="str">
        <f>IF(Input!E11=0,"",Input!E11)</f>
        <v>Jeddah</v>
      </c>
      <c r="P9" s="67">
        <v>1800000</v>
      </c>
      <c r="Q9" s="67">
        <f>IF(Input!G11=0,"",Input!G11)</f>
        <v>2000000</v>
      </c>
      <c r="R9" s="67">
        <v>2010000</v>
      </c>
      <c r="S9" s="57" t="s">
        <v>197</v>
      </c>
    </row>
    <row r="10" spans="3:20" ht="30" customHeight="1" x14ac:dyDescent="0.25">
      <c r="C10" s="48" t="s">
        <v>62</v>
      </c>
      <c r="D10" s="49">
        <f>COUNTIF(CEOinput[Won, Lost, Pending],"Won")</f>
        <v>9</v>
      </c>
      <c r="F10" s="57">
        <v>3</v>
      </c>
      <c r="G10" s="57" t="str">
        <f>IF(Input!D12=0,"",Input!D12)</f>
        <v>Riyadh</v>
      </c>
      <c r="H10" s="57">
        <f>IF(Input!AT12=0,"",Input!AT12)</f>
        <v>54</v>
      </c>
      <c r="I10" s="57" t="str">
        <f>IF(Input!AU12=0,"",Input!AU12)</f>
        <v>HIGH</v>
      </c>
      <c r="J10" s="57" t="str">
        <f>IF(Input!AV12=0,"",Input!AV12)</f>
        <v>NO GO</v>
      </c>
      <c r="K10" s="58">
        <f>IF(Input!AW12=0,"",Input!AW12)</f>
        <v>0.18</v>
      </c>
      <c r="L10" s="86" t="str">
        <f>IF(Input!AY12=0,"",Input!AY12)</f>
        <v>Rejected</v>
      </c>
      <c r="M10" s="93" t="s">
        <v>217</v>
      </c>
      <c r="N10" s="91" t="str">
        <f>IF(Input!N12=0,"",Input!N12)</f>
        <v>Jan</v>
      </c>
      <c r="O10" s="92" t="str">
        <f>IF(Input!E12=0,"",Input!E12)</f>
        <v>Mecca (Makkah)</v>
      </c>
      <c r="P10" s="67">
        <v>2800000</v>
      </c>
      <c r="Q10" s="67">
        <f>IF(Input!G12=0,"",Input!G12)</f>
        <v>3000000</v>
      </c>
      <c r="R10" s="67">
        <v>3010000</v>
      </c>
      <c r="S10" s="57" t="s">
        <v>197</v>
      </c>
    </row>
    <row r="11" spans="3:20" ht="30" customHeight="1" x14ac:dyDescent="0.25">
      <c r="C11" s="48" t="s">
        <v>63</v>
      </c>
      <c r="D11" s="130">
        <f>IFERROR(D10/D9,0)</f>
        <v>0.40909090909090912</v>
      </c>
      <c r="F11" s="57">
        <v>4</v>
      </c>
      <c r="G11" s="57" t="str">
        <f>IF(Input!D13=0,"",Input!D13)</f>
        <v>Dammam</v>
      </c>
      <c r="H11" s="57">
        <f>IF(Input!AT13=0,"",Input!AT13)</f>
        <v>52</v>
      </c>
      <c r="I11" s="57" t="str">
        <f>IF(Input!AU13=0,"",Input!AU13)</f>
        <v>HIGH</v>
      </c>
      <c r="J11" s="57" t="str">
        <f>IF(Input!AV13=0,"",Input!AV13)</f>
        <v>NO GO</v>
      </c>
      <c r="K11" s="58">
        <f>IF(Input!AW13=0,"",Input!AW13)</f>
        <v>0.18</v>
      </c>
      <c r="L11" s="86" t="str">
        <f>IF(Input!AY13=0,"",Input!AY13)</f>
        <v>Rejected</v>
      </c>
      <c r="M11" s="93" t="s">
        <v>218</v>
      </c>
      <c r="N11" s="91" t="str">
        <f>IF(Input!N13=0,"",Input!N13)</f>
        <v>Jan</v>
      </c>
      <c r="O11" s="92" t="str">
        <f>IF(Input!E13=0,"",Input!E13)</f>
        <v>Medina (Madinah)</v>
      </c>
      <c r="P11" s="67">
        <v>2800000</v>
      </c>
      <c r="Q11" s="67">
        <f>IF(Input!G13=0,"",Input!G13)</f>
        <v>3000000</v>
      </c>
      <c r="R11" s="67">
        <v>3010000</v>
      </c>
      <c r="S11" s="57" t="s">
        <v>198</v>
      </c>
      <c r="T11" s="65"/>
    </row>
    <row r="12" spans="3:20" ht="30" customHeight="1" x14ac:dyDescent="0.25">
      <c r="C12" s="188" t="s">
        <v>64</v>
      </c>
      <c r="D12" s="50">
        <f>SUM(Input!G10:G31)</f>
        <v>75204000</v>
      </c>
      <c r="F12" s="57">
        <v>5</v>
      </c>
      <c r="G12" s="57" t="str">
        <f>IF(Input!D14=0,"",Input!D14)</f>
        <v>Kharj</v>
      </c>
      <c r="H12" s="57">
        <f>IF(Input!AT14=0,"",Input!AT14)</f>
        <v>118</v>
      </c>
      <c r="I12" s="57" t="str">
        <f>IF(Input!AU14=0,"",Input!AU14)</f>
        <v>LOW</v>
      </c>
      <c r="J12" s="57" t="str">
        <f>IF(Input!AV14=0,"",Input!AV14)</f>
        <v>GO</v>
      </c>
      <c r="K12" s="58">
        <f>IF(Input!AW14=0,"",Input!AW14)</f>
        <v>0.75</v>
      </c>
      <c r="L12" s="86" t="str">
        <f>IF(Input!AY14=0,"",Input!AY14)</f>
        <v>Pending</v>
      </c>
      <c r="M12" s="93" t="s">
        <v>143</v>
      </c>
      <c r="N12" s="91" t="str">
        <f>IF(Input!N14=0,"",Input!N14)</f>
        <v>Jan</v>
      </c>
      <c r="O12" s="92" t="str">
        <f>IF(Input!E14=0,"",Input!E14)</f>
        <v>Dammam</v>
      </c>
      <c r="P12" s="67">
        <v>2800000</v>
      </c>
      <c r="Q12" s="67">
        <f>IF(Input!G14=0,"",Input!G14)</f>
        <v>3000000</v>
      </c>
      <c r="R12" s="67">
        <v>3010000</v>
      </c>
      <c r="S12" s="57" t="s">
        <v>198</v>
      </c>
    </row>
    <row r="13" spans="3:20" ht="30" customHeight="1" x14ac:dyDescent="0.25">
      <c r="C13" s="189"/>
      <c r="D13" s="51" t="str">
        <f>TEXT(D12/1000000, "0.00") &amp; " Million SAR"</f>
        <v>75.20 Million SAR</v>
      </c>
      <c r="F13" s="57">
        <v>6</v>
      </c>
      <c r="G13" s="57" t="str">
        <f>IF(Input!D15=0,"",Input!D15)</f>
        <v>Umluj</v>
      </c>
      <c r="H13" s="57">
        <f>IF(Input!AT15=0,"",Input!AT15)</f>
        <v>64</v>
      </c>
      <c r="I13" s="57" t="str">
        <f>IF(Input!AU15=0,"",Input!AU15)</f>
        <v>MEDIUM</v>
      </c>
      <c r="J13" s="57" t="str">
        <f>IF(Input!AV15=0,"",Input!AV15)</f>
        <v>REVIEW</v>
      </c>
      <c r="K13" s="58">
        <f>IF(Input!AW15=0,"",Input!AW15)</f>
        <v>0.38250000000000001</v>
      </c>
      <c r="L13" s="86" t="str">
        <f>IF(Input!AY15=0,"",Input!AY15)</f>
        <v>Won</v>
      </c>
      <c r="M13" s="93" t="s">
        <v>219</v>
      </c>
      <c r="N13" s="91" t="str">
        <f>IF(Input!N15=0,"",Input!N15)</f>
        <v>Jan</v>
      </c>
      <c r="O13" s="92" t="str">
        <f>IF(Input!E15=0,"",Input!E15)</f>
        <v>Al-Khobar</v>
      </c>
      <c r="P13" s="67">
        <v>2800000</v>
      </c>
      <c r="Q13" s="67">
        <f>IF(Input!G15=0,"",Input!G15)</f>
        <v>3000000</v>
      </c>
      <c r="R13" s="67">
        <v>3010000</v>
      </c>
      <c r="S13" s="57" t="s">
        <v>197</v>
      </c>
    </row>
    <row r="14" spans="3:20" ht="30" customHeight="1" x14ac:dyDescent="0.25">
      <c r="C14" s="179" t="s">
        <v>240</v>
      </c>
      <c r="D14" s="50">
        <f>SUMIF(CEOinput[Active &amp; Awaiting Projects], "Active",CEOinput[Estimated Value])</f>
        <v>31740000</v>
      </c>
      <c r="F14" s="57">
        <v>7</v>
      </c>
      <c r="G14" s="57" t="str">
        <f>IF(Input!D16=0,"",Input!D16)</f>
        <v>Tabuk</v>
      </c>
      <c r="H14" s="57">
        <f>IF(Input!AT16=0,"",Input!AT16)</f>
        <v>80</v>
      </c>
      <c r="I14" s="57" t="str">
        <f>IF(Input!AU16=0,"",Input!AU16)</f>
        <v>MEDIUM</v>
      </c>
      <c r="J14" s="57" t="str">
        <f>IF(Input!AV16=0,"",Input!AV16)</f>
        <v>GO</v>
      </c>
      <c r="K14" s="58">
        <f>IF(Input!AW16=0,"",Input!AW16)</f>
        <v>0.38250000000000001</v>
      </c>
      <c r="L14" s="86" t="str">
        <f>IF(Input!AY16=0,"",Input!AY16)</f>
        <v>Won</v>
      </c>
      <c r="M14" s="93" t="s">
        <v>220</v>
      </c>
      <c r="N14" s="91" t="str">
        <f>IF(Input!N16=0,"",Input!N16)</f>
        <v>Feb</v>
      </c>
      <c r="O14" s="92" t="str">
        <f>IF(Input!E16=0,"",Input!E16)</f>
        <v>Dhahran</v>
      </c>
      <c r="P14" s="67">
        <v>2800000</v>
      </c>
      <c r="Q14" s="67">
        <f>IF(Input!G16=0,"",Input!G16)</f>
        <v>3000000</v>
      </c>
      <c r="R14" s="67">
        <v>3010000</v>
      </c>
      <c r="S14" s="57" t="s">
        <v>197</v>
      </c>
    </row>
    <row r="15" spans="3:20" ht="30" customHeight="1" thickBot="1" x14ac:dyDescent="0.3">
      <c r="C15" s="180"/>
      <c r="D15" s="52" t="str">
        <f>TEXT(D14/1000000, "0.00") &amp; " Million SAR"</f>
        <v>31.74 Million SAR</v>
      </c>
      <c r="F15" s="57">
        <v>8</v>
      </c>
      <c r="G15" s="57" t="str">
        <f>IF(Input!D17=0,"",Input!D17)</f>
        <v>Khobar</v>
      </c>
      <c r="H15" s="57">
        <f>IF(Input!AT17=0,"",Input!AT17)</f>
        <v>62</v>
      </c>
      <c r="I15" s="57" t="str">
        <f>IF(Input!AU17=0,"",Input!AU17)</f>
        <v>MEDIUM</v>
      </c>
      <c r="J15" s="57" t="str">
        <f>IF(Input!AV17=0,"",Input!AV17)</f>
        <v>REVIEW</v>
      </c>
      <c r="K15" s="58">
        <f>IF(Input!AW17=0,"",Input!AW17)</f>
        <v>0.38250000000000001</v>
      </c>
      <c r="L15" s="86" t="str">
        <f>IF(Input!AY17=0,"",Input!AY17)</f>
        <v>Lost</v>
      </c>
      <c r="M15" s="93" t="s">
        <v>221</v>
      </c>
      <c r="N15" s="91" t="str">
        <f>IF(Input!N17=0,"",Input!N17)</f>
        <v>Feb</v>
      </c>
      <c r="O15" s="92" t="str">
        <f>IF(Input!E17=0,"",Input!E17)</f>
        <v>Tabuk</v>
      </c>
      <c r="P15" s="67">
        <v>6340000</v>
      </c>
      <c r="Q15" s="67">
        <f>IF(Input!G17=0,"",Input!G17)</f>
        <v>6540000</v>
      </c>
      <c r="R15" s="67">
        <v>6550000</v>
      </c>
      <c r="S15" s="57" t="s">
        <v>198</v>
      </c>
    </row>
    <row r="16" spans="3:20" ht="30" customHeight="1" thickBot="1" x14ac:dyDescent="0.3">
      <c r="C16" s="55"/>
      <c r="F16" s="57">
        <v>9</v>
      </c>
      <c r="G16" s="57" t="str">
        <f>IF(Input!D18=0,"",Input!D18)</f>
        <v>Dahran</v>
      </c>
      <c r="H16" s="57">
        <f>IF(Input!AT18=0,"",Input!AT18)</f>
        <v>106</v>
      </c>
      <c r="I16" s="57" t="str">
        <f>IF(Input!AU18=0,"",Input!AU18)</f>
        <v>LOW</v>
      </c>
      <c r="J16" s="57" t="str">
        <f>IF(Input!AV18=0,"",Input!AV18)</f>
        <v>GO</v>
      </c>
      <c r="K16" s="58">
        <f>IF(Input!AW18=0,"",Input!AW18)</f>
        <v>0.75</v>
      </c>
      <c r="L16" s="86" t="str">
        <f>IF(Input!AY18=0,"",Input!AY18)</f>
        <v>Pending</v>
      </c>
      <c r="M16" s="93" t="s">
        <v>222</v>
      </c>
      <c r="N16" s="91" t="str">
        <f>IF(Input!N18=0,"",Input!N18)</f>
        <v>Feb</v>
      </c>
      <c r="O16" s="92" t="str">
        <f>IF(Input!E18=0,"",Input!E18)</f>
        <v>Abha</v>
      </c>
      <c r="P16" s="67">
        <v>240000</v>
      </c>
      <c r="Q16" s="67">
        <f>IF(Input!G18=0,"",Input!G18)</f>
        <v>800000</v>
      </c>
      <c r="R16" s="67">
        <v>450000</v>
      </c>
      <c r="S16" s="57" t="s">
        <v>198</v>
      </c>
    </row>
    <row r="17" spans="3:19" ht="30" customHeight="1" x14ac:dyDescent="0.25">
      <c r="C17" s="59"/>
      <c r="D17" s="60"/>
      <c r="F17" s="57">
        <v>10</v>
      </c>
      <c r="G17" s="57" t="str">
        <f>IF(Input!D19=0,"",Input!D19)</f>
        <v>Abha</v>
      </c>
      <c r="H17" s="57">
        <f>IF(Input!AT19=0,"",Input!AT19)</f>
        <v>74</v>
      </c>
      <c r="I17" s="57" t="str">
        <f>IF(Input!AU19=0,"",Input!AU19)</f>
        <v>MEDIUM</v>
      </c>
      <c r="J17" s="57" t="str">
        <f>IF(Input!AV19=0,"",Input!AV19)</f>
        <v>REVIEW</v>
      </c>
      <c r="K17" s="58">
        <f>IF(Input!AW19=0,"",Input!AW19)</f>
        <v>0.38250000000000001</v>
      </c>
      <c r="L17" s="86" t="str">
        <f>IF(Input!AY19=0,"",Input!AY19)</f>
        <v>Won</v>
      </c>
      <c r="M17" s="93" t="s">
        <v>223</v>
      </c>
      <c r="N17" s="91" t="str">
        <f>IF(Input!N19=0,"",Input!N19)</f>
        <v>Feb</v>
      </c>
      <c r="O17" s="92" t="str">
        <f>IF(Input!E19=0,"",Input!E19)</f>
        <v>Umluj</v>
      </c>
      <c r="P17" s="67">
        <v>6264000</v>
      </c>
      <c r="Q17" s="67">
        <f>IF(Input!G19=0,"",Input!G19)</f>
        <v>6464000</v>
      </c>
      <c r="R17" s="67">
        <v>6465000</v>
      </c>
      <c r="S17" s="57" t="s">
        <v>198</v>
      </c>
    </row>
    <row r="18" spans="3:19" ht="30" customHeight="1" x14ac:dyDescent="0.25">
      <c r="C18" s="61"/>
      <c r="D18" s="62"/>
      <c r="F18" s="57">
        <v>11</v>
      </c>
      <c r="G18" s="57" t="str">
        <f>IF(Input!D20=0,"",Input!D20)</f>
        <v>Hail</v>
      </c>
      <c r="H18" s="57">
        <f>IF(Input!AT20=0,"",Input!AT20)</f>
        <v>87</v>
      </c>
      <c r="I18" s="57" t="str">
        <f>IF(Input!AU20=0,"",Input!AU20)</f>
        <v>MEDIUM</v>
      </c>
      <c r="J18" s="57" t="str">
        <f>IF(Input!AV20=0,"",Input!AV20)</f>
        <v>GO</v>
      </c>
      <c r="K18" s="58">
        <f>IF(Input!AW20=0,"",Input!AW20)</f>
        <v>0.51</v>
      </c>
      <c r="L18" s="86" t="str">
        <f>IF(Input!AY20=0,"",Input!AY20)</f>
        <v>Pending</v>
      </c>
      <c r="M18" s="93" t="s">
        <v>224</v>
      </c>
      <c r="N18" s="91" t="str">
        <f>IF(Input!N20=0,"",Input!N20)</f>
        <v>Apr</v>
      </c>
      <c r="O18" s="92" t="str">
        <f>IF(Input!E20=0,"",Input!E20)</f>
        <v>Ha'il</v>
      </c>
      <c r="P18" s="67">
        <v>6340000</v>
      </c>
      <c r="Q18" s="67">
        <f>IF(Input!G20=0,"",Input!G20)</f>
        <v>6540000</v>
      </c>
      <c r="R18" s="67">
        <v>6550000</v>
      </c>
      <c r="S18" s="57" t="s">
        <v>197</v>
      </c>
    </row>
    <row r="19" spans="3:19" ht="30" customHeight="1" x14ac:dyDescent="0.25">
      <c r="C19" s="61"/>
      <c r="D19" s="62"/>
      <c r="F19" s="57">
        <v>12</v>
      </c>
      <c r="G19" s="57" t="str">
        <f>IF(Input!D21=0,"",Input!D21)</f>
        <v>Ahasa</v>
      </c>
      <c r="H19" s="57">
        <f>IF(Input!AT21=0,"",Input!AT21)</f>
        <v>25</v>
      </c>
      <c r="I19" s="57" t="str">
        <f>IF(Input!AU21=0,"",Input!AU21)</f>
        <v>HIGH</v>
      </c>
      <c r="J19" s="57" t="str">
        <f>IF(Input!AV21=0,"",Input!AV21)</f>
        <v>NO GO</v>
      </c>
      <c r="K19" s="58">
        <f>IF(Input!AW21=0,"",Input!AW21)</f>
        <v>0.09</v>
      </c>
      <c r="L19" s="86" t="str">
        <f>IF(Input!AY21=0,"",Input!AY21)</f>
        <v>Rejected</v>
      </c>
      <c r="M19" s="93" t="s">
        <v>225</v>
      </c>
      <c r="N19" s="91" t="str">
        <f>IF(Input!N21=0,"",Input!N21)</f>
        <v>Mar</v>
      </c>
      <c r="O19" s="92" t="str">
        <f>IF(Input!E21=0,"",Input!E21)</f>
        <v>Al-Ahsa (Hofuf)</v>
      </c>
      <c r="P19" s="67">
        <v>677000</v>
      </c>
      <c r="Q19" s="67">
        <f>IF(Input!G21=0,"",Input!G21)</f>
        <v>900000</v>
      </c>
      <c r="R19" s="67">
        <v>780000</v>
      </c>
      <c r="S19" s="57" t="s">
        <v>197</v>
      </c>
    </row>
    <row r="20" spans="3:19" ht="30" customHeight="1" x14ac:dyDescent="0.25">
      <c r="C20" s="61"/>
      <c r="D20" s="62"/>
      <c r="F20" s="57">
        <v>13</v>
      </c>
      <c r="G20" s="57" t="str">
        <f>IF(Input!D22=0,"",Input!D22)</f>
        <v>Qatif</v>
      </c>
      <c r="H20" s="57">
        <f>IF(Input!AT22=0,"",Input!AT22)</f>
        <v>75</v>
      </c>
      <c r="I20" s="57" t="str">
        <f>IF(Input!AU22=0,"",Input!AU22)</f>
        <v>MEDIUM</v>
      </c>
      <c r="J20" s="57" t="str">
        <f>IF(Input!AV22=0,"",Input!AV22)</f>
        <v>REVIEW</v>
      </c>
      <c r="K20" s="58">
        <f>IF(Input!AW22=0,"",Input!AW22)</f>
        <v>0.38250000000000001</v>
      </c>
      <c r="L20" s="86" t="str">
        <f>IF(Input!AY22=0,"",Input!AY22)</f>
        <v>Won</v>
      </c>
      <c r="N20" s="91" t="str">
        <f>IF(Input!N22=0,"",Input!N22)</f>
        <v>Oct</v>
      </c>
      <c r="O20" s="92" t="str">
        <f>IF(Input!E22=0,"",Input!E22)</f>
        <v>Al-Qatif</v>
      </c>
      <c r="P20" s="67">
        <v>200000</v>
      </c>
      <c r="Q20" s="67">
        <f>IF(Input!G22=0,"",Input!G22)</f>
        <v>1000000</v>
      </c>
      <c r="R20" s="67">
        <v>1010000</v>
      </c>
      <c r="S20" s="57" t="s">
        <v>198</v>
      </c>
    </row>
    <row r="21" spans="3:19" ht="30" customHeight="1" x14ac:dyDescent="0.25">
      <c r="C21" s="61"/>
      <c r="D21" s="62"/>
      <c r="F21" s="57">
        <v>14</v>
      </c>
      <c r="G21" s="57" t="str">
        <f>IF(Input!D23=0,"",Input!D23)</f>
        <v>Yanbu</v>
      </c>
      <c r="H21" s="57">
        <f>IF(Input!AT23=0,"",Input!AT23)</f>
        <v>53</v>
      </c>
      <c r="I21" s="57" t="str">
        <f>IF(Input!AU23=0,"",Input!AU23)</f>
        <v>HIGH</v>
      </c>
      <c r="J21" s="57" t="str">
        <f>IF(Input!AV23=0,"",Input!AV23)</f>
        <v>NO GO</v>
      </c>
      <c r="K21" s="58">
        <f>IF(Input!AW23=0,"",Input!AW23)</f>
        <v>0.18</v>
      </c>
      <c r="L21" s="86" t="str">
        <f>IF(Input!AY23=0,"",Input!AY23)</f>
        <v>Rejected</v>
      </c>
      <c r="N21" s="91" t="str">
        <f>IF(Input!N23=0,"",Input!N23)</f>
        <v>Nov</v>
      </c>
      <c r="O21" s="92" t="str">
        <f>IF(Input!E23=0,"",Input!E23)</f>
        <v>Yanbu</v>
      </c>
      <c r="P21" s="67">
        <v>2800000</v>
      </c>
      <c r="Q21" s="67">
        <f>IF(Input!G23=0,"",Input!G23)</f>
        <v>3000000</v>
      </c>
      <c r="R21" s="67">
        <v>3010000</v>
      </c>
      <c r="S21" s="57" t="s">
        <v>198</v>
      </c>
    </row>
    <row r="22" spans="3:19" ht="30" customHeight="1" x14ac:dyDescent="0.25">
      <c r="C22" s="61"/>
      <c r="D22" s="62"/>
      <c r="F22" s="57">
        <v>15</v>
      </c>
      <c r="G22" s="57" t="str">
        <f>IF(Input!D24=0,"",Input!D24)</f>
        <v>Najran</v>
      </c>
      <c r="H22" s="57">
        <f>IF(Input!AT24=0,"",Input!AT24)</f>
        <v>87</v>
      </c>
      <c r="I22" s="57" t="str">
        <f>IF(Input!AU24=0,"",Input!AU24)</f>
        <v>MEDIUM</v>
      </c>
      <c r="J22" s="57" t="str">
        <f>IF(Input!AV24=0,"",Input!AV24)</f>
        <v>GO</v>
      </c>
      <c r="K22" s="58">
        <f>IF(Input!AW24=0,"",Input!AW24)</f>
        <v>0.51</v>
      </c>
      <c r="L22" s="86" t="str">
        <f>IF(Input!AY24=0,"",Input!AY24)</f>
        <v>Won</v>
      </c>
      <c r="N22" s="91" t="str">
        <f>IF(Input!N24=0,"",Input!N24)</f>
        <v>Dec</v>
      </c>
      <c r="O22" s="92" t="str">
        <f>IF(Input!E24=0,"",Input!E24)</f>
        <v>Najran</v>
      </c>
      <c r="P22" s="67">
        <v>500000</v>
      </c>
      <c r="Q22" s="67">
        <f>IF(Input!G24=0,"",Input!G24)</f>
        <v>660000</v>
      </c>
      <c r="R22" s="67">
        <v>670000</v>
      </c>
      <c r="S22" s="57" t="s">
        <v>198</v>
      </c>
    </row>
    <row r="23" spans="3:19" ht="30" customHeight="1" x14ac:dyDescent="0.25">
      <c r="C23" s="61"/>
      <c r="D23" s="62"/>
      <c r="F23" s="57">
        <v>16</v>
      </c>
      <c r="G23" s="57" t="str">
        <f>IF(Input!D25=0,"",Input!D25)</f>
        <v>Bahah</v>
      </c>
      <c r="H23" s="57">
        <f>IF(Input!AT25=0,"",Input!AT25)</f>
        <v>76</v>
      </c>
      <c r="I23" s="57" t="str">
        <f>IF(Input!AU25=0,"",Input!AU25)</f>
        <v>MEDIUM</v>
      </c>
      <c r="J23" s="57" t="str">
        <f>IF(Input!AV25=0,"",Input!AV25)</f>
        <v>REVIEW</v>
      </c>
      <c r="K23" s="58">
        <f>IF(Input!AW25=0,"",Input!AW25)</f>
        <v>0.38250000000000001</v>
      </c>
      <c r="L23" s="86" t="str">
        <f>IF(Input!AY25=0,"",Input!AY25)</f>
        <v>Won</v>
      </c>
      <c r="N23" s="91" t="str">
        <f>IF(Input!N25=0,"",Input!N25)</f>
        <v>Jan</v>
      </c>
      <c r="O23" s="92" t="str">
        <f>IF(Input!E25=0,"",Input!E25)</f>
        <v>Al-Bahah</v>
      </c>
      <c r="P23" s="67">
        <v>200000</v>
      </c>
      <c r="Q23" s="67">
        <f>IF(Input!G25=0,"",Input!G25)</f>
        <v>800000</v>
      </c>
      <c r="R23" s="67">
        <v>210000</v>
      </c>
      <c r="S23" s="57" t="s">
        <v>197</v>
      </c>
    </row>
    <row r="24" spans="3:19" ht="30" customHeight="1" x14ac:dyDescent="0.25">
      <c r="C24" s="61"/>
      <c r="D24" s="62"/>
      <c r="F24" s="57">
        <v>17</v>
      </c>
      <c r="G24" s="57" t="str">
        <f>IF(Input!D26=0,"",Input!D26)</f>
        <v>Jizan</v>
      </c>
      <c r="H24" s="57">
        <f>IF(Input!AT26=0,"",Input!AT26)</f>
        <v>85</v>
      </c>
      <c r="I24" s="57" t="str">
        <f>IF(Input!AU26=0,"",Input!AU26)</f>
        <v>MEDIUM</v>
      </c>
      <c r="J24" s="57" t="str">
        <f>IF(Input!AV26=0,"",Input!AV26)</f>
        <v>GO</v>
      </c>
      <c r="K24" s="58">
        <f>IF(Input!AW26=0,"",Input!AW26)</f>
        <v>0.51</v>
      </c>
      <c r="L24" s="86" t="str">
        <f>IF(Input!AY26=0,"",Input!AY26)</f>
        <v>Won</v>
      </c>
      <c r="N24" s="91" t="str">
        <f>IF(Input!N26=0,"",Input!N26)</f>
        <v>Feb</v>
      </c>
      <c r="O24" s="92" t="str">
        <f>IF(Input!E26=0,"",Input!E26)</f>
        <v>Jazan (Jizan)</v>
      </c>
      <c r="P24" s="67">
        <v>1800000</v>
      </c>
      <c r="Q24" s="67">
        <f>IF(Input!G26=0,"",Input!G26)</f>
        <v>2000000</v>
      </c>
      <c r="R24" s="67">
        <v>2010000</v>
      </c>
      <c r="S24" s="57" t="s">
        <v>197</v>
      </c>
    </row>
    <row r="25" spans="3:19" ht="30" customHeight="1" x14ac:dyDescent="0.25">
      <c r="C25" s="61"/>
      <c r="D25" s="62"/>
      <c r="F25" s="57">
        <v>18</v>
      </c>
      <c r="G25" s="57" t="str">
        <f>IF(Input!D27=0,"",Input!D27)</f>
        <v>Ula</v>
      </c>
      <c r="H25" s="57">
        <f>IF(Input!AT27=0,"",Input!AT27)</f>
        <v>82</v>
      </c>
      <c r="I25" s="57" t="str">
        <f>IF(Input!AU27=0,"",Input!AU27)</f>
        <v>MEDIUM</v>
      </c>
      <c r="J25" s="57" t="str">
        <f>IF(Input!AV27=0,"",Input!AV27)</f>
        <v>GO</v>
      </c>
      <c r="K25" s="58">
        <f>IF(Input!AW27=0,"",Input!AW27)</f>
        <v>0.51</v>
      </c>
      <c r="L25" s="86" t="str">
        <f>IF(Input!AY27=0,"",Input!AY27)</f>
        <v>Lost</v>
      </c>
      <c r="N25" s="91" t="str">
        <f>IF(Input!N27=0,"",Input!N27)</f>
        <v>May</v>
      </c>
      <c r="O25" s="92" t="str">
        <f>IF(Input!E27=0,"",Input!E27)</f>
        <v>Al-Kharj</v>
      </c>
      <c r="P25" s="67">
        <v>1800000</v>
      </c>
      <c r="Q25" s="67">
        <f>IF(Input!G27=0,"",Input!G27)</f>
        <v>2000000</v>
      </c>
      <c r="R25" s="67">
        <v>2010000</v>
      </c>
      <c r="S25" s="57" t="s">
        <v>198</v>
      </c>
    </row>
    <row r="26" spans="3:19" ht="30" customHeight="1" x14ac:dyDescent="0.25">
      <c r="C26" s="61"/>
      <c r="D26" s="62"/>
      <c r="F26" s="57">
        <v>19</v>
      </c>
      <c r="G26" s="57" t="str">
        <f>IF(Input!D28=0,"",Input!D28)</f>
        <v>Ras Tanura</v>
      </c>
      <c r="H26" s="57">
        <f>IF(Input!AT28=0,"",Input!AT28)</f>
        <v>49</v>
      </c>
      <c r="I26" s="57" t="str">
        <f>IF(Input!AU28=0,"",Input!AU28)</f>
        <v>HIGH</v>
      </c>
      <c r="J26" s="57" t="str">
        <f>IF(Input!AV28=0,"",Input!AV28)</f>
        <v>NO GO</v>
      </c>
      <c r="K26" s="58">
        <f>IF(Input!AW28=0,"",Input!AW28)</f>
        <v>0.18</v>
      </c>
      <c r="L26" s="86" t="str">
        <f>IF(Input!AY28=0,"",Input!AY28)</f>
        <v>Rejected</v>
      </c>
      <c r="N26" s="91" t="str">
        <f>IF(Input!N28=0,"",Input!N28)</f>
        <v>Jun</v>
      </c>
      <c r="O26" s="92" t="str">
        <f>IF(Input!E28=0,"",Input!E28)</f>
        <v>Al-Ula</v>
      </c>
      <c r="P26" s="67">
        <v>2800000</v>
      </c>
      <c r="Q26" s="67">
        <f>IF(Input!G28=0,"",Input!G28)</f>
        <v>9000000</v>
      </c>
      <c r="R26" s="67">
        <v>3010000</v>
      </c>
      <c r="S26" s="57" t="s">
        <v>198</v>
      </c>
    </row>
    <row r="27" spans="3:19" ht="30" customHeight="1" x14ac:dyDescent="0.25">
      <c r="C27" s="61"/>
      <c r="D27" s="62"/>
      <c r="F27" s="57">
        <v>20</v>
      </c>
      <c r="G27" s="57" t="str">
        <f>IF(Input!D29=0,"",Input!D29)</f>
        <v>Jubail</v>
      </c>
      <c r="H27" s="57">
        <f>IF(Input!AT29=0,"",Input!AT29)</f>
        <v>74</v>
      </c>
      <c r="I27" s="57" t="str">
        <f>IF(Input!AU29=0,"",Input!AU29)</f>
        <v>MEDIUM</v>
      </c>
      <c r="J27" s="57" t="str">
        <f>IF(Input!AV29=0,"",Input!AV29)</f>
        <v>REVIEW</v>
      </c>
      <c r="K27" s="58">
        <f>IF(Input!AW29=0,"",Input!AW29)</f>
        <v>0.38250000000000001</v>
      </c>
      <c r="L27" s="86" t="str">
        <f>IF(Input!AY29=0,"",Input!AY29)</f>
        <v>Pending</v>
      </c>
      <c r="N27" s="91" t="str">
        <f>IF(Input!N29=0,"",Input!N29)</f>
        <v>Jul</v>
      </c>
      <c r="O27" s="92" t="str">
        <f>IF(Input!E29=0,"",Input!E29)</f>
        <v>Ras Tanura</v>
      </c>
      <c r="P27" s="67">
        <v>4500000</v>
      </c>
      <c r="Q27" s="67">
        <f>IF(Input!G29=0,"",Input!G29)</f>
        <v>8000000</v>
      </c>
      <c r="R27" s="67">
        <v>3010000</v>
      </c>
      <c r="S27" s="57" t="s">
        <v>198</v>
      </c>
    </row>
    <row r="28" spans="3:19" ht="30" customHeight="1" x14ac:dyDescent="0.25">
      <c r="C28" s="61"/>
      <c r="D28" s="62"/>
      <c r="F28" s="57">
        <v>21</v>
      </c>
      <c r="G28" s="57" t="str">
        <f>IF(Input!D30=0,"",Input!D30)</f>
        <v>Hofuf</v>
      </c>
      <c r="H28" s="57">
        <f>IF(Input!AT30=0,"",Input!AT30)</f>
        <v>90</v>
      </c>
      <c r="I28" s="57" t="str">
        <f>IF(Input!AU30=0,"",Input!AU30)</f>
        <v>LOW</v>
      </c>
      <c r="J28" s="57" t="str">
        <f>IF(Input!AV30=0,"",Input!AV30)</f>
        <v>GO</v>
      </c>
      <c r="K28" s="58">
        <f>IF(Input!AW30=0,"",Input!AW30)</f>
        <v>0.6</v>
      </c>
      <c r="L28" s="86" t="str">
        <f>IF(Input!AY30=0,"",Input!AY30)</f>
        <v>Won</v>
      </c>
      <c r="N28" s="91" t="str">
        <f>IF(Input!N30=0,"",Input!N30)</f>
        <v>Aug</v>
      </c>
      <c r="O28" s="92" t="str">
        <f>IF(Input!E30=0,"",Input!E30)</f>
        <v>Jubail</v>
      </c>
      <c r="P28" s="67">
        <v>3500000</v>
      </c>
      <c r="Q28" s="67">
        <f>IF(Input!G30=0,"",Input!G30)</f>
        <v>6500000</v>
      </c>
      <c r="R28" s="67">
        <v>3010000</v>
      </c>
      <c r="S28" s="57" t="s">
        <v>197</v>
      </c>
    </row>
    <row r="29" spans="3:19" ht="30" customHeight="1" x14ac:dyDescent="0.25">
      <c r="C29" s="61"/>
      <c r="D29" s="62"/>
      <c r="F29" s="57">
        <v>22</v>
      </c>
      <c r="G29" s="57" t="str">
        <f>IF(Input!D31=0,"",Input!D31)</f>
        <v>Jeddah</v>
      </c>
      <c r="H29" s="57">
        <f>IF(Input!AT31=0,"",Input!AT31)</f>
        <v>88</v>
      </c>
      <c r="I29" s="57" t="str">
        <f>IF(Input!AU31=0,"",Input!AU31)</f>
        <v>MEDIUM</v>
      </c>
      <c r="J29" s="57" t="str">
        <f>IF(Input!AV31=0,"",Input!AV31)</f>
        <v>GO</v>
      </c>
      <c r="K29" s="58">
        <f>IF(Input!AW31=0,"",Input!AW31)</f>
        <v>0.51</v>
      </c>
      <c r="L29" s="86" t="str">
        <f>IF(Input!AY31=0,"",Input!AY31)</f>
        <v>Lost</v>
      </c>
      <c r="N29" s="91" t="str">
        <f>IF(Input!N31=0,"",Input!N31)</f>
        <v>Sep</v>
      </c>
      <c r="O29" s="92" t="str">
        <f>IF(Input!E31=0,"",Input!E31)</f>
        <v>Al Qasim</v>
      </c>
      <c r="P29" s="67">
        <v>2800000</v>
      </c>
      <c r="Q29" s="67">
        <f>IF(Input!G31=0,"",Input!G31)</f>
        <v>3000000</v>
      </c>
      <c r="R29" s="67">
        <v>3010000</v>
      </c>
      <c r="S29" s="57" t="s">
        <v>197</v>
      </c>
    </row>
    <row r="30" spans="3:19" ht="30" customHeight="1" x14ac:dyDescent="0.25">
      <c r="C30" s="61"/>
      <c r="D30" s="62"/>
      <c r="F30" s="57"/>
      <c r="G30" s="57"/>
      <c r="H30" s="57" t="str">
        <f>IF(Input!AT32=0,"",Input!AT32)</f>
        <v/>
      </c>
      <c r="I30" s="57" t="str">
        <f>IF(Input!AU32=0,"",Input!AU32)</f>
        <v/>
      </c>
      <c r="J30" s="57" t="str">
        <f>IF(Input!AV32=0,"",Input!AV32)</f>
        <v/>
      </c>
      <c r="K30" s="58" t="str">
        <f>IF(Input!AW32=0,"",Input!AW32)</f>
        <v/>
      </c>
      <c r="L30" s="86" t="str">
        <f>IF(Input!AY32=0,"",Input!AY32)</f>
        <v/>
      </c>
      <c r="N30" s="91" t="str">
        <f>IF(Input!N32=0,"",Input!N32)</f>
        <v/>
      </c>
      <c r="O30" s="92" t="str">
        <f>IF(Input!E32=0,"",Input!E32)</f>
        <v/>
      </c>
      <c r="P30" s="67"/>
      <c r="Q30" s="67" t="str">
        <f>IF(Input!G32=0,"",Input!G32)</f>
        <v/>
      </c>
      <c r="R30" s="67"/>
      <c r="S30" s="57"/>
    </row>
    <row r="31" spans="3:19" ht="30" customHeight="1" x14ac:dyDescent="0.25">
      <c r="C31" s="61"/>
      <c r="D31" s="62"/>
      <c r="F31" s="57"/>
      <c r="G31" s="57"/>
      <c r="H31" s="57" t="str">
        <f>IF(Input!AT33=0,"",Input!AT33)</f>
        <v/>
      </c>
      <c r="I31" s="57" t="str">
        <f>IF(Input!AU33=0,"",Input!AU33)</f>
        <v/>
      </c>
      <c r="J31" s="57" t="str">
        <f>IF(Input!AV33=0,"",Input!AV33)</f>
        <v/>
      </c>
      <c r="K31" s="58" t="str">
        <f>IF(Input!AW33=0,"",Input!AW33)</f>
        <v/>
      </c>
      <c r="L31" s="86" t="str">
        <f>IF(Input!AY33=0,"",Input!AY33)</f>
        <v/>
      </c>
      <c r="N31" s="91" t="str">
        <f>IF(Input!N33=0,"",Input!N33)</f>
        <v/>
      </c>
      <c r="O31" s="92" t="str">
        <f>IF(Input!E33=0,"",Input!E33)</f>
        <v/>
      </c>
      <c r="P31" s="67"/>
      <c r="Q31" s="67" t="str">
        <f>IF(Input!G33=0,"",Input!G33)</f>
        <v/>
      </c>
      <c r="R31" s="67"/>
      <c r="S31" s="57"/>
    </row>
    <row r="32" spans="3:19" ht="30" customHeight="1" thickBot="1" x14ac:dyDescent="0.3">
      <c r="C32" s="63"/>
      <c r="D32" s="64"/>
      <c r="F32" s="57"/>
      <c r="G32" s="57"/>
      <c r="H32" s="57" t="str">
        <f>IF(Input!AT34=0,"",Input!AT34)</f>
        <v/>
      </c>
      <c r="I32" s="57" t="str">
        <f>IF(Input!AU34=0,"",Input!AU34)</f>
        <v/>
      </c>
      <c r="J32" s="57" t="str">
        <f>IF(Input!AV34=0,"",Input!AV34)</f>
        <v/>
      </c>
      <c r="K32" s="58" t="str">
        <f>IF(Input!AW34=0,"",Input!AW34)</f>
        <v/>
      </c>
      <c r="L32" s="86" t="str">
        <f>IF(Input!AY34=0,"",Input!AY34)</f>
        <v/>
      </c>
      <c r="N32" s="91" t="str">
        <f>IF(Input!N34=0,"",Input!N34)</f>
        <v/>
      </c>
      <c r="O32" s="92" t="str">
        <f>IF(Input!E34=0,"",Input!E34)</f>
        <v/>
      </c>
      <c r="P32" s="67"/>
      <c r="Q32" s="67" t="str">
        <f>IF(Input!G34=0,"",Input!G34)</f>
        <v/>
      </c>
      <c r="R32" s="67"/>
      <c r="S32" s="57"/>
    </row>
    <row r="33" spans="8:18" ht="30" customHeight="1" x14ac:dyDescent="0.25">
      <c r="H33" s="56" t="str">
        <f>IF(Input!AT32=0,"",Input!AT32)</f>
        <v/>
      </c>
      <c r="I33" s="56" t="str">
        <f>IF(Input!AU32=0,"",Input!AU32)</f>
        <v/>
      </c>
      <c r="J33" s="56" t="str">
        <f>IF(Input!AV32=0,"",Input!AV32)</f>
        <v/>
      </c>
      <c r="K33" s="85" t="str">
        <f>IF(Input!AW32=0,"",Input!AW32)</f>
        <v/>
      </c>
      <c r="L33" s="88"/>
      <c r="N33" s="56" t="str">
        <f>IF(Input!N32=0,"",Input!N32)</f>
        <v/>
      </c>
      <c r="O33" s="89" t="str">
        <f>IF(Input!E32=0,"",Input!E32)</f>
        <v/>
      </c>
      <c r="P33" s="90"/>
      <c r="Q33" s="90"/>
      <c r="R33" s="90"/>
    </row>
    <row r="34" spans="8:18" ht="30" customHeight="1" x14ac:dyDescent="0.25">
      <c r="H34" s="56" t="str">
        <f>IF(Input!AT33=0,"",Input!AT33)</f>
        <v/>
      </c>
      <c r="I34" s="56" t="str">
        <f>IF(Input!AU33=0,"",Input!AU33)</f>
        <v/>
      </c>
      <c r="J34" s="56" t="str">
        <f>IF(Input!AV33=0,"",Input!AV33)</f>
        <v/>
      </c>
      <c r="K34" s="85" t="str">
        <f>IF(Input!AW33=0,"",Input!AW33)</f>
        <v/>
      </c>
      <c r="L34" s="85"/>
      <c r="N34" s="56" t="str">
        <f>IF(Input!N33=0,"",Input!N33)</f>
        <v/>
      </c>
      <c r="O34" s="56" t="str">
        <f>IF(Input!E33=0,"",Input!E33)</f>
        <v/>
      </c>
      <c r="P34" s="90"/>
      <c r="Q34" s="90"/>
      <c r="R34" s="90"/>
    </row>
    <row r="35" spans="8:18" ht="30" customHeight="1" x14ac:dyDescent="0.25">
      <c r="H35" s="56" t="str">
        <f>IF(Input!AT34=0,"",Input!AT34)</f>
        <v/>
      </c>
      <c r="I35" s="56" t="str">
        <f>IF(Input!AU34=0,"",Input!AU34)</f>
        <v/>
      </c>
      <c r="J35" s="56" t="str">
        <f>IF(Input!AV34=0,"",Input!AV34)</f>
        <v/>
      </c>
      <c r="K35" s="85" t="str">
        <f>IF(Input!AW34=0,"",Input!AW34)</f>
        <v/>
      </c>
      <c r="N35" s="56" t="str">
        <f>IF(Input!N34=0,"",Input!N34)</f>
        <v/>
      </c>
      <c r="O35" s="56" t="str">
        <f>IF(Input!E34=0,"",Input!E34)</f>
        <v/>
      </c>
      <c r="P35" s="90"/>
      <c r="Q35" s="90"/>
      <c r="R35" s="90"/>
    </row>
  </sheetData>
  <mergeCells count="6">
    <mergeCell ref="N3:S5"/>
    <mergeCell ref="C14:C15"/>
    <mergeCell ref="C7:D7"/>
    <mergeCell ref="F3:K5"/>
    <mergeCell ref="C3:D5"/>
    <mergeCell ref="C12:C13"/>
  </mergeCells>
  <phoneticPr fontId="11" type="noConversion"/>
  <conditionalFormatting sqref="H8:H32">
    <cfRule type="colorScale" priority="16">
      <colorScale>
        <cfvo type="min"/>
        <cfvo type="percentile" val="50"/>
        <cfvo type="max"/>
        <color rgb="FFF8696B"/>
        <color rgb="FFFFEB84"/>
        <color rgb="FF63BE7B"/>
      </colorScale>
    </cfRule>
  </conditionalFormatting>
  <conditionalFormatting sqref="I8:I36">
    <cfRule type="cellIs" dxfId="127" priority="12" operator="equal">
      <formula>"HIGH"</formula>
    </cfRule>
    <cfRule type="cellIs" dxfId="126" priority="13" operator="equal">
      <formula>"MEDIUM"</formula>
    </cfRule>
    <cfRule type="cellIs" dxfId="125" priority="14" operator="equal">
      <formula>"LOW"</formula>
    </cfRule>
  </conditionalFormatting>
  <conditionalFormatting sqref="J8:J35">
    <cfRule type="cellIs" dxfId="124" priority="5" operator="equal">
      <formula>"NO GO"</formula>
    </cfRule>
    <cfRule type="cellIs" dxfId="123" priority="6" operator="equal">
      <formula>"REVIEW"</formula>
    </cfRule>
    <cfRule type="cellIs" dxfId="122" priority="7" operator="equal">
      <formula>"GO"</formula>
    </cfRule>
  </conditionalFormatting>
  <conditionalFormatting sqref="K8:L9 K10:K32 L10:L34">
    <cfRule type="colorScale" priority="76">
      <colorScale>
        <cfvo type="min"/>
        <cfvo type="percentile" val="50"/>
        <cfvo type="max"/>
        <color rgb="FFF8696B"/>
        <color rgb="FFFCFCFF"/>
        <color rgb="FF63BE7B"/>
      </colorScale>
    </cfRule>
  </conditionalFormatting>
  <conditionalFormatting sqref="L8:L32">
    <cfRule type="cellIs" dxfId="121" priority="1" operator="equal">
      <formula>"Pending"</formula>
    </cfRule>
    <cfRule type="cellIs" dxfId="120" priority="2" operator="equal">
      <formula>"Rejected"</formula>
    </cfRule>
    <cfRule type="cellIs" dxfId="119" priority="3" operator="equal">
      <formula>"Lost"</formula>
    </cfRule>
    <cfRule type="cellIs" dxfId="118" priority="4" operator="equal">
      <formula>"Won"</formula>
    </cfRule>
  </conditionalFormatting>
  <dataValidations disablePrompts="1" count="2">
    <dataValidation type="list" allowBlank="1" showInputMessage="1" showErrorMessage="1" sqref="O8:O32" xr:uid="{2B130375-24A9-400B-AB0B-F335285955C7}">
      <formula1>"Riyadh, Jeddah, Mecca (Makkah), Medina (Madinah), Dammam, Al-Khobar, Dhahran, Tabuk, Abha, Buraydah, Ha'il, Al-Ahsa (Hofuf), Al-Qatif, Yanbu, Najran, Al-Bahah, Jazan (Jizan), Al-Kharj, Al-Ula, Ras Tanura, Jubail, Al Qasim, Umluj"</formula1>
    </dataValidation>
    <dataValidation type="list" allowBlank="1" showInputMessage="1" showErrorMessage="1" sqref="S8:S35" xr:uid="{27D68869-07E5-4DB7-874D-603BEE99A35C}">
      <formula1>"Active, Awaiting"</formula1>
    </dataValidation>
  </dataValidations>
  <pageMargins left="0.75" right="0.75" top="1" bottom="1" header="0.5" footer="0.5"/>
  <pageSetup paperSize="9" scale="26" orientation="portrait" r:id="rId1"/>
  <ignoredErrors>
    <ignoredError sqref="D14" formula="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954E3-0CB2-44A7-B0C0-BC4EA2924B76}">
  <sheetPr codeName="Sheet8">
    <tabColor rgb="FFC00000"/>
  </sheetPr>
  <dimension ref="A1"/>
  <sheetViews>
    <sheetView zoomScale="130" zoomScaleNormal="130" workbookViewId="0">
      <selection activeCell="E24" sqref="E24"/>
    </sheetView>
  </sheetViews>
  <sheetFormatPr defaultColWidth="8.85546875" defaultRowHeight="15" x14ac:dyDescent="0.25"/>
  <cols>
    <col min="1" max="16384" width="8.85546875" style="45"/>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0070C0"/>
  </sheetPr>
  <dimension ref="C1:P28"/>
  <sheetViews>
    <sheetView showGridLines="0" view="pageBreakPreview" zoomScale="70" zoomScaleNormal="100" zoomScaleSheetLayoutView="70" workbookViewId="0">
      <selection activeCell="M11" sqref="M11"/>
    </sheetView>
  </sheetViews>
  <sheetFormatPr defaultColWidth="15.7109375" defaultRowHeight="30" customHeight="1" x14ac:dyDescent="0.25"/>
  <cols>
    <col min="1" max="1" width="2.140625" style="53" customWidth="1"/>
    <col min="2" max="2" width="3.85546875" style="53" customWidth="1"/>
    <col min="3" max="3" width="8.7109375" style="53" customWidth="1"/>
    <col min="4" max="4" width="23.85546875" style="53" customWidth="1"/>
    <col min="5" max="5" width="36.140625" style="53" customWidth="1"/>
    <col min="6" max="6" width="35.42578125" style="53" customWidth="1"/>
    <col min="7" max="7" width="33" style="53" customWidth="1"/>
    <col min="8" max="8" width="20.5703125" style="53" customWidth="1"/>
    <col min="9" max="9" width="37.28515625" style="53" customWidth="1"/>
    <col min="10" max="10" width="39.28515625" style="53" customWidth="1"/>
    <col min="11" max="11" width="18.85546875" style="53" customWidth="1"/>
    <col min="12" max="12" width="26.140625" style="53" customWidth="1"/>
    <col min="13" max="13" width="25.42578125" style="53" customWidth="1"/>
    <col min="14" max="14" width="41.7109375" style="53" customWidth="1"/>
    <col min="15" max="15" width="57.7109375" style="53" customWidth="1"/>
    <col min="16" max="16" width="70.140625" style="53" customWidth="1"/>
    <col min="17" max="17" width="3.42578125" style="53" customWidth="1"/>
    <col min="18" max="16384" width="15.7109375" style="53"/>
  </cols>
  <sheetData>
    <row r="1" spans="3:16" ht="17.25" customHeight="1" thickBot="1" x14ac:dyDescent="0.3"/>
    <row r="2" spans="3:16" ht="30" customHeight="1" x14ac:dyDescent="0.25">
      <c r="C2" s="182" t="e" vm="3">
        <v>#VALUE!</v>
      </c>
      <c r="D2" s="190"/>
      <c r="E2" s="190"/>
      <c r="F2" s="190"/>
      <c r="G2" s="100"/>
      <c r="H2" s="100"/>
      <c r="I2" s="100"/>
      <c r="J2" s="100"/>
      <c r="K2" s="100"/>
      <c r="L2" s="139"/>
      <c r="M2" s="100"/>
      <c r="N2" s="100"/>
      <c r="O2" s="100"/>
      <c r="P2" s="101"/>
    </row>
    <row r="3" spans="3:16" ht="30" customHeight="1" x14ac:dyDescent="0.25">
      <c r="C3" s="184"/>
      <c r="D3" s="191"/>
      <c r="E3" s="191"/>
      <c r="F3" s="191"/>
      <c r="G3" s="102"/>
      <c r="H3" s="102"/>
      <c r="I3" s="103"/>
      <c r="J3" s="102"/>
      <c r="K3" s="102"/>
      <c r="L3" s="140"/>
      <c r="M3" s="102"/>
      <c r="N3" s="102"/>
      <c r="O3" s="102"/>
      <c r="P3" s="99">
        <f ca="1">NOW()</f>
        <v>46127.532568865739</v>
      </c>
    </row>
    <row r="4" spans="3:16" ht="30" customHeight="1" thickBot="1" x14ac:dyDescent="0.3">
      <c r="C4" s="186"/>
      <c r="D4" s="192"/>
      <c r="E4" s="192"/>
      <c r="F4" s="192"/>
      <c r="G4" s="104"/>
      <c r="H4" s="104"/>
      <c r="I4" s="104"/>
      <c r="J4" s="104"/>
      <c r="K4" s="104"/>
      <c r="L4" s="104"/>
      <c r="M4" s="104"/>
      <c r="N4" s="104"/>
      <c r="O4" s="104"/>
      <c r="P4" s="105"/>
    </row>
    <row r="5" spans="3:16" ht="13.5" customHeight="1" x14ac:dyDescent="0.25"/>
    <row r="6" spans="3:16" ht="58.5" customHeight="1" x14ac:dyDescent="0.25">
      <c r="C6" s="145" t="s">
        <v>168</v>
      </c>
      <c r="D6" s="142" t="s">
        <v>5</v>
      </c>
      <c r="E6" s="143" t="s">
        <v>0</v>
      </c>
      <c r="F6" s="143" t="s">
        <v>1</v>
      </c>
      <c r="G6" s="143" t="s">
        <v>2</v>
      </c>
      <c r="H6" s="143" t="s">
        <v>6</v>
      </c>
      <c r="I6" s="144" t="s">
        <v>3</v>
      </c>
      <c r="J6" s="142" t="s">
        <v>8</v>
      </c>
      <c r="K6" s="142" t="s">
        <v>4</v>
      </c>
      <c r="L6" s="143" t="s">
        <v>7</v>
      </c>
      <c r="M6" s="142" t="s">
        <v>9</v>
      </c>
      <c r="N6" s="142" t="s">
        <v>10</v>
      </c>
      <c r="O6" s="142" t="s">
        <v>11</v>
      </c>
      <c r="P6" s="141" t="s">
        <v>12</v>
      </c>
    </row>
    <row r="7" spans="3:16" ht="30" customHeight="1" x14ac:dyDescent="0.25">
      <c r="C7" s="106" cm="1">
        <f t="array" ref="C7:C28">_xlfn.SEQUENCE(COUNTA(E$7:E$1048576))</f>
        <v>1</v>
      </c>
      <c r="D7" s="107">
        <f>Input!K10</f>
        <v>44562</v>
      </c>
      <c r="E7" s="106" t="str">
        <f>Input!D10</f>
        <v>Al Rimal</v>
      </c>
      <c r="F7" s="106">
        <f>Input!O10</f>
        <v>1</v>
      </c>
      <c r="G7" s="106" t="str">
        <f>Input!Q10</f>
        <v>AECOM</v>
      </c>
      <c r="H7" s="106" t="str">
        <f>Input!P10</f>
        <v>Gov</v>
      </c>
      <c r="I7" s="98">
        <f>Input!G10</f>
        <v>1000000</v>
      </c>
      <c r="J7" s="98">
        <f>'CEO Input'!P8</f>
        <v>800000</v>
      </c>
      <c r="K7" s="106">
        <f>Input!AT10</f>
        <v>51</v>
      </c>
      <c r="L7" s="146" t="str">
        <f>Input!AY10</f>
        <v>Rejected</v>
      </c>
      <c r="M7" s="106"/>
      <c r="N7" s="106"/>
      <c r="O7" s="106"/>
      <c r="P7" s="106"/>
    </row>
    <row r="8" spans="3:16" ht="30" customHeight="1" x14ac:dyDescent="0.25">
      <c r="C8" s="108">
        <v>2</v>
      </c>
      <c r="D8" s="109">
        <f>Input!K11</f>
        <v>44563</v>
      </c>
      <c r="E8" s="108" t="str">
        <f>Input!D11</f>
        <v>Al Qasim</v>
      </c>
      <c r="F8" s="108">
        <f>Input!O11</f>
        <v>2</v>
      </c>
      <c r="G8" s="108" t="str">
        <f>Input!Q11</f>
        <v>AECOM</v>
      </c>
      <c r="H8" s="108" t="str">
        <f>Input!P11</f>
        <v>Gov</v>
      </c>
      <c r="I8" s="97">
        <f>Input!G11</f>
        <v>2000000</v>
      </c>
      <c r="J8" s="98">
        <f>'CEO Input'!P9</f>
        <v>1800000</v>
      </c>
      <c r="K8" s="108">
        <f>Input!AT11</f>
        <v>135</v>
      </c>
      <c r="L8" s="146" t="str">
        <f>Input!AY11</f>
        <v>Won</v>
      </c>
      <c r="M8" s="108"/>
      <c r="N8" s="108"/>
      <c r="O8" s="108"/>
      <c r="P8" s="108"/>
    </row>
    <row r="9" spans="3:16" ht="30" customHeight="1" x14ac:dyDescent="0.25">
      <c r="C9" s="108">
        <v>3</v>
      </c>
      <c r="D9" s="109">
        <f>Input!K12</f>
        <v>44568</v>
      </c>
      <c r="E9" s="108" t="str">
        <f>Input!D12</f>
        <v>Riyadh</v>
      </c>
      <c r="F9" s="108">
        <f>Input!O12</f>
        <v>3</v>
      </c>
      <c r="G9" s="108" t="str">
        <f>Input!Q12</f>
        <v>AECOM</v>
      </c>
      <c r="H9" s="108" t="str">
        <f>Input!P12</f>
        <v>Gov</v>
      </c>
      <c r="I9" s="97">
        <f>Input!G12</f>
        <v>3000000</v>
      </c>
      <c r="J9" s="98">
        <f>'CEO Input'!P10</f>
        <v>2800000</v>
      </c>
      <c r="K9" s="108">
        <f>Input!AT12</f>
        <v>54</v>
      </c>
      <c r="L9" s="146" t="str">
        <f>Input!AY12</f>
        <v>Rejected</v>
      </c>
      <c r="M9" s="108"/>
      <c r="N9" s="108"/>
      <c r="O9" s="108"/>
      <c r="P9" s="108"/>
    </row>
    <row r="10" spans="3:16" ht="30" customHeight="1" x14ac:dyDescent="0.25">
      <c r="C10" s="108">
        <v>4</v>
      </c>
      <c r="D10" s="109">
        <f>Input!K13</f>
        <v>44948</v>
      </c>
      <c r="E10" s="108" t="str">
        <f>Input!D13</f>
        <v>Dammam</v>
      </c>
      <c r="F10" s="108">
        <f>Input!O13</f>
        <v>4</v>
      </c>
      <c r="G10" s="108" t="str">
        <f>Input!Q13</f>
        <v>AECOM</v>
      </c>
      <c r="H10" s="108" t="str">
        <f>Input!P13</f>
        <v>Private</v>
      </c>
      <c r="I10" s="97">
        <f>Input!G13</f>
        <v>3000000</v>
      </c>
      <c r="J10" s="98">
        <f>'CEO Input'!P11</f>
        <v>2800000</v>
      </c>
      <c r="K10" s="108">
        <f>Input!AT13</f>
        <v>52</v>
      </c>
      <c r="L10" s="146" t="str">
        <f>Input!AY13</f>
        <v>Rejected</v>
      </c>
      <c r="M10" s="108"/>
      <c r="N10" s="108"/>
      <c r="O10" s="108"/>
      <c r="P10" s="108"/>
    </row>
    <row r="11" spans="3:16" ht="30" customHeight="1" x14ac:dyDescent="0.25">
      <c r="C11" s="108">
        <v>5</v>
      </c>
      <c r="D11" s="109">
        <f>Input!K14</f>
        <v>44944</v>
      </c>
      <c r="E11" s="108" t="str">
        <f>Input!D14</f>
        <v>Kharj</v>
      </c>
      <c r="F11" s="108">
        <f>Input!O14</f>
        <v>5</v>
      </c>
      <c r="G11" s="108" t="str">
        <f>Input!Q14</f>
        <v>AECOM</v>
      </c>
      <c r="H11" s="108" t="str">
        <f>Input!P14</f>
        <v>Private</v>
      </c>
      <c r="I11" s="97">
        <f>Input!G14</f>
        <v>3000000</v>
      </c>
      <c r="J11" s="98">
        <f>'CEO Input'!P12</f>
        <v>2800000</v>
      </c>
      <c r="K11" s="108">
        <f>Input!AT14</f>
        <v>118</v>
      </c>
      <c r="L11" s="146" t="str">
        <f>Input!AY14</f>
        <v>Pending</v>
      </c>
      <c r="M11" s="108"/>
      <c r="N11" s="108"/>
      <c r="O11" s="108"/>
      <c r="P11" s="108"/>
    </row>
    <row r="12" spans="3:16" ht="30" customHeight="1" x14ac:dyDescent="0.25">
      <c r="C12" s="108">
        <v>6</v>
      </c>
      <c r="D12" s="109">
        <f>Input!K15</f>
        <v>44957</v>
      </c>
      <c r="E12" s="108" t="str">
        <f>Input!D15</f>
        <v>Umluj</v>
      </c>
      <c r="F12" s="108">
        <f>Input!O15</f>
        <v>6</v>
      </c>
      <c r="G12" s="108" t="str">
        <f>Input!Q15</f>
        <v>AECOM</v>
      </c>
      <c r="H12" s="108" t="str">
        <f>Input!P15</f>
        <v>Gov</v>
      </c>
      <c r="I12" s="97">
        <f>Input!G15</f>
        <v>3000000</v>
      </c>
      <c r="J12" s="98">
        <f>'CEO Input'!P13</f>
        <v>2800000</v>
      </c>
      <c r="K12" s="108">
        <f>Input!AT15</f>
        <v>64</v>
      </c>
      <c r="L12" s="146" t="str">
        <f>Input!AY15</f>
        <v>Won</v>
      </c>
      <c r="M12" s="108"/>
      <c r="N12" s="108"/>
      <c r="O12" s="108"/>
      <c r="P12" s="108"/>
    </row>
    <row r="13" spans="3:16" ht="30" customHeight="1" x14ac:dyDescent="0.25">
      <c r="C13" s="108">
        <v>7</v>
      </c>
      <c r="D13" s="109">
        <f>Input!K16</f>
        <v>45324</v>
      </c>
      <c r="E13" s="108" t="str">
        <f>Input!D16</f>
        <v>Tabuk</v>
      </c>
      <c r="F13" s="108">
        <f>Input!O16</f>
        <v>7</v>
      </c>
      <c r="G13" s="108" t="str">
        <f>Input!Q16</f>
        <v>AECOM</v>
      </c>
      <c r="H13" s="108" t="str">
        <f>Input!P16</f>
        <v>Private</v>
      </c>
      <c r="I13" s="97">
        <f>Input!G16</f>
        <v>3000000</v>
      </c>
      <c r="J13" s="98">
        <f>'CEO Input'!P14</f>
        <v>2800000</v>
      </c>
      <c r="K13" s="108">
        <f>Input!AT16</f>
        <v>80</v>
      </c>
      <c r="L13" s="146" t="str">
        <f>Input!AY16</f>
        <v>Won</v>
      </c>
      <c r="M13" s="108"/>
      <c r="N13" s="108"/>
      <c r="O13" s="108"/>
      <c r="P13" s="108"/>
    </row>
    <row r="14" spans="3:16" ht="30" customHeight="1" x14ac:dyDescent="0.25">
      <c r="C14" s="108">
        <v>8</v>
      </c>
      <c r="D14" s="109">
        <f>Input!K17</f>
        <v>45328</v>
      </c>
      <c r="E14" s="108" t="str">
        <f>Input!D17</f>
        <v>Khobar</v>
      </c>
      <c r="F14" s="108">
        <f>Input!O17</f>
        <v>8</v>
      </c>
      <c r="G14" s="108" t="str">
        <f>Input!Q17</f>
        <v>AECOM</v>
      </c>
      <c r="H14" s="108" t="str">
        <f>Input!P17</f>
        <v>Private</v>
      </c>
      <c r="I14" s="97">
        <f>Input!G17</f>
        <v>6540000</v>
      </c>
      <c r="J14" s="98">
        <f>'CEO Input'!P15</f>
        <v>6340000</v>
      </c>
      <c r="K14" s="108">
        <f>Input!AT17</f>
        <v>62</v>
      </c>
      <c r="L14" s="146" t="str">
        <f>Input!AY17</f>
        <v>Lost</v>
      </c>
      <c r="M14" s="108"/>
      <c r="N14" s="108"/>
      <c r="O14" s="108"/>
      <c r="P14" s="108"/>
    </row>
    <row r="15" spans="3:16" ht="30" customHeight="1" x14ac:dyDescent="0.25">
      <c r="C15" s="108">
        <v>9</v>
      </c>
      <c r="D15" s="109">
        <f>Input!K18</f>
        <v>45332</v>
      </c>
      <c r="E15" s="108" t="str">
        <f>Input!D18</f>
        <v>Dahran</v>
      </c>
      <c r="F15" s="108">
        <f>Input!O18</f>
        <v>9</v>
      </c>
      <c r="G15" s="108" t="str">
        <f>Input!Q18</f>
        <v>AECOM</v>
      </c>
      <c r="H15" s="108" t="str">
        <f>Input!P18</f>
        <v>Gov</v>
      </c>
      <c r="I15" s="97">
        <f>Input!G18</f>
        <v>800000</v>
      </c>
      <c r="J15" s="98">
        <f>'CEO Input'!P16</f>
        <v>240000</v>
      </c>
      <c r="K15" s="108">
        <f>Input!AT18</f>
        <v>106</v>
      </c>
      <c r="L15" s="146" t="str">
        <f>Input!AY18</f>
        <v>Pending</v>
      </c>
      <c r="M15" s="108"/>
      <c r="N15" s="108"/>
      <c r="O15" s="108"/>
      <c r="P15" s="108"/>
    </row>
    <row r="16" spans="3:16" ht="30" customHeight="1" x14ac:dyDescent="0.25">
      <c r="C16" s="108">
        <v>10</v>
      </c>
      <c r="D16" s="109">
        <f>Input!K19</f>
        <v>45344</v>
      </c>
      <c r="E16" s="108" t="str">
        <f>Input!D19</f>
        <v>Abha</v>
      </c>
      <c r="F16" s="108">
        <f>Input!O19</f>
        <v>10</v>
      </c>
      <c r="G16" s="108" t="str">
        <f>Input!Q19</f>
        <v>AECOM</v>
      </c>
      <c r="H16" s="108" t="str">
        <f>Input!P19</f>
        <v>Semi</v>
      </c>
      <c r="I16" s="97">
        <f>Input!G19</f>
        <v>6464000</v>
      </c>
      <c r="J16" s="98">
        <f>'CEO Input'!P17</f>
        <v>6264000</v>
      </c>
      <c r="K16" s="108">
        <f>Input!AT19</f>
        <v>74</v>
      </c>
      <c r="L16" s="146" t="str">
        <f>Input!AY19</f>
        <v>Won</v>
      </c>
      <c r="M16" s="108"/>
      <c r="N16" s="108"/>
      <c r="O16" s="108"/>
      <c r="P16" s="108"/>
    </row>
    <row r="17" spans="3:16" ht="30" customHeight="1" x14ac:dyDescent="0.25">
      <c r="C17" s="108">
        <v>11</v>
      </c>
      <c r="D17" s="109">
        <f>Input!K20</f>
        <v>45763</v>
      </c>
      <c r="E17" s="108" t="str">
        <f>Input!D20</f>
        <v>Hail</v>
      </c>
      <c r="F17" s="108">
        <f>Input!O20</f>
        <v>11</v>
      </c>
      <c r="G17" s="108" t="str">
        <f>Input!Q20</f>
        <v>AECOM</v>
      </c>
      <c r="H17" s="108" t="str">
        <f>Input!P20</f>
        <v>Semi</v>
      </c>
      <c r="I17" s="97">
        <f>Input!G20</f>
        <v>6540000</v>
      </c>
      <c r="J17" s="98">
        <f>'CEO Input'!P18</f>
        <v>6340000</v>
      </c>
      <c r="K17" s="108">
        <f>Input!AT20</f>
        <v>87</v>
      </c>
      <c r="L17" s="146" t="str">
        <f>Input!AY20</f>
        <v>Pending</v>
      </c>
      <c r="M17" s="108"/>
      <c r="N17" s="108"/>
      <c r="O17" s="108"/>
      <c r="P17" s="108"/>
    </row>
    <row r="18" spans="3:16" ht="30" customHeight="1" x14ac:dyDescent="0.25">
      <c r="C18" s="108">
        <v>12</v>
      </c>
      <c r="D18" s="109">
        <f>Input!K21</f>
        <v>45718</v>
      </c>
      <c r="E18" s="108" t="str">
        <f>Input!D21</f>
        <v>Ahasa</v>
      </c>
      <c r="F18" s="108">
        <f>Input!O21</f>
        <v>12</v>
      </c>
      <c r="G18" s="108" t="str">
        <f>Input!Q21</f>
        <v>AECOM</v>
      </c>
      <c r="H18" s="108" t="str">
        <f>Input!P21</f>
        <v>Semi</v>
      </c>
      <c r="I18" s="97">
        <f>Input!G21</f>
        <v>900000</v>
      </c>
      <c r="J18" s="98">
        <f>'CEO Input'!P19</f>
        <v>677000</v>
      </c>
      <c r="K18" s="108">
        <f>Input!AT21</f>
        <v>25</v>
      </c>
      <c r="L18" s="146" t="str">
        <f>Input!AY21</f>
        <v>Rejected</v>
      </c>
      <c r="M18" s="108"/>
      <c r="N18" s="108"/>
      <c r="O18" s="108"/>
      <c r="P18" s="108"/>
    </row>
    <row r="19" spans="3:16" ht="30" customHeight="1" x14ac:dyDescent="0.25">
      <c r="C19" s="108">
        <v>13</v>
      </c>
      <c r="D19" s="109">
        <f>Input!K22</f>
        <v>45938</v>
      </c>
      <c r="E19" s="108" t="str">
        <f>Input!D22</f>
        <v>Qatif</v>
      </c>
      <c r="F19" s="108">
        <f>Input!O22</f>
        <v>13</v>
      </c>
      <c r="G19" s="108" t="str">
        <f>Input!Q22</f>
        <v>AECOM</v>
      </c>
      <c r="H19" s="108" t="str">
        <f>Input!P22</f>
        <v>Private</v>
      </c>
      <c r="I19" s="97">
        <f>Input!G22</f>
        <v>1000000</v>
      </c>
      <c r="J19" s="98">
        <f>'CEO Input'!P20</f>
        <v>200000</v>
      </c>
      <c r="K19" s="108">
        <f>Input!AT22</f>
        <v>75</v>
      </c>
      <c r="L19" s="146" t="str">
        <f>Input!AY22</f>
        <v>Won</v>
      </c>
      <c r="M19" s="108"/>
      <c r="N19" s="108"/>
      <c r="O19" s="108"/>
      <c r="P19" s="108"/>
    </row>
    <row r="20" spans="3:16" ht="30" customHeight="1" x14ac:dyDescent="0.25">
      <c r="C20" s="108">
        <v>14</v>
      </c>
      <c r="D20" s="109">
        <f>Input!K23</f>
        <v>45973</v>
      </c>
      <c r="E20" s="108" t="str">
        <f>Input!D23</f>
        <v>Yanbu</v>
      </c>
      <c r="F20" s="108">
        <f>Input!O23</f>
        <v>14</v>
      </c>
      <c r="G20" s="108" t="str">
        <f>Input!Q23</f>
        <v>AECOM</v>
      </c>
      <c r="H20" s="108" t="str">
        <f>Input!P23</f>
        <v>Private</v>
      </c>
      <c r="I20" s="97">
        <f>Input!G23</f>
        <v>3000000</v>
      </c>
      <c r="J20" s="98">
        <f>'CEO Input'!P21</f>
        <v>2800000</v>
      </c>
      <c r="K20" s="108">
        <f>Input!AT23</f>
        <v>53</v>
      </c>
      <c r="L20" s="146" t="str">
        <f>Input!AY23</f>
        <v>Rejected</v>
      </c>
      <c r="M20" s="108"/>
      <c r="N20" s="108"/>
      <c r="O20" s="108"/>
      <c r="P20" s="108"/>
    </row>
    <row r="21" spans="3:16" ht="30" customHeight="1" x14ac:dyDescent="0.25">
      <c r="C21" s="108">
        <v>15</v>
      </c>
      <c r="D21" s="109">
        <f>Input!K24</f>
        <v>46010</v>
      </c>
      <c r="E21" s="108" t="str">
        <f>Input!D24</f>
        <v>Najran</v>
      </c>
      <c r="F21" s="108">
        <f>Input!O24</f>
        <v>15</v>
      </c>
      <c r="G21" s="108" t="str">
        <f>Input!Q24</f>
        <v>AECOM</v>
      </c>
      <c r="H21" s="108" t="str">
        <f>Input!P24</f>
        <v>Semi</v>
      </c>
      <c r="I21" s="97">
        <f>Input!G24</f>
        <v>660000</v>
      </c>
      <c r="J21" s="98">
        <f>'CEO Input'!P22</f>
        <v>500000</v>
      </c>
      <c r="K21" s="108">
        <f>Input!AT24</f>
        <v>87</v>
      </c>
      <c r="L21" s="146" t="str">
        <f>Input!AY24</f>
        <v>Won</v>
      </c>
      <c r="M21" s="108"/>
      <c r="N21" s="108"/>
      <c r="O21" s="108"/>
      <c r="P21" s="108"/>
    </row>
    <row r="22" spans="3:16" ht="30" customHeight="1" x14ac:dyDescent="0.25">
      <c r="C22" s="108">
        <v>16</v>
      </c>
      <c r="D22" s="109">
        <f>Input!K25</f>
        <v>46036</v>
      </c>
      <c r="E22" s="108" t="str">
        <f>Input!D25</f>
        <v>Bahah</v>
      </c>
      <c r="F22" s="108">
        <f>Input!O25</f>
        <v>16</v>
      </c>
      <c r="G22" s="108" t="str">
        <f>Input!Q25</f>
        <v>AECOM</v>
      </c>
      <c r="H22" s="108" t="str">
        <f>Input!P25</f>
        <v>Private</v>
      </c>
      <c r="I22" s="97">
        <f>Input!G25</f>
        <v>800000</v>
      </c>
      <c r="J22" s="98">
        <f>'CEO Input'!P23</f>
        <v>200000</v>
      </c>
      <c r="K22" s="108">
        <f>Input!AT25</f>
        <v>76</v>
      </c>
      <c r="L22" s="146" t="str">
        <f>Input!AY25</f>
        <v>Won</v>
      </c>
      <c r="M22" s="108"/>
      <c r="N22" s="108"/>
      <c r="O22" s="108"/>
      <c r="P22" s="108"/>
    </row>
    <row r="23" spans="3:16" ht="30" customHeight="1" x14ac:dyDescent="0.25">
      <c r="C23" s="108">
        <v>17</v>
      </c>
      <c r="D23" s="109">
        <f>Input!K26</f>
        <v>46064</v>
      </c>
      <c r="E23" s="108" t="str">
        <f>Input!D26</f>
        <v>Jizan</v>
      </c>
      <c r="F23" s="108">
        <f>Input!O26</f>
        <v>17</v>
      </c>
      <c r="G23" s="108" t="str">
        <f>Input!Q26</f>
        <v>AECOM</v>
      </c>
      <c r="H23" s="108" t="str">
        <f>Input!P26</f>
        <v>Private</v>
      </c>
      <c r="I23" s="97">
        <f>Input!G26</f>
        <v>2000000</v>
      </c>
      <c r="J23" s="98">
        <f>'CEO Input'!P24</f>
        <v>1800000</v>
      </c>
      <c r="K23" s="108">
        <f>Input!AT26</f>
        <v>85</v>
      </c>
      <c r="L23" s="146" t="str">
        <f>Input!AY26</f>
        <v>Won</v>
      </c>
      <c r="M23" s="108"/>
      <c r="N23" s="108"/>
      <c r="O23" s="108"/>
      <c r="P23" s="108"/>
    </row>
    <row r="24" spans="3:16" ht="30" customHeight="1" x14ac:dyDescent="0.25">
      <c r="C24" s="108">
        <v>18</v>
      </c>
      <c r="D24" s="109">
        <f>Input!K27</f>
        <v>46148</v>
      </c>
      <c r="E24" s="108" t="str">
        <f>Input!D27</f>
        <v>Ula</v>
      </c>
      <c r="F24" s="108">
        <f>Input!O27</f>
        <v>18</v>
      </c>
      <c r="G24" s="108" t="str">
        <f>Input!Q27</f>
        <v>AECOM</v>
      </c>
      <c r="H24" s="108" t="str">
        <f>Input!P27</f>
        <v>Gov</v>
      </c>
      <c r="I24" s="97">
        <f>Input!G27</f>
        <v>2000000</v>
      </c>
      <c r="J24" s="98">
        <f>'CEO Input'!P25</f>
        <v>1800000</v>
      </c>
      <c r="K24" s="108">
        <f>Input!AT27</f>
        <v>82</v>
      </c>
      <c r="L24" s="146" t="str">
        <f>Input!AY27</f>
        <v>Lost</v>
      </c>
      <c r="M24" s="108"/>
      <c r="N24" s="108"/>
      <c r="O24" s="108"/>
      <c r="P24" s="108"/>
    </row>
    <row r="25" spans="3:16" ht="30" customHeight="1" x14ac:dyDescent="0.25">
      <c r="C25" s="108">
        <v>19</v>
      </c>
      <c r="D25" s="109">
        <f>Input!K28</f>
        <v>46183</v>
      </c>
      <c r="E25" s="108" t="str">
        <f>Input!D28</f>
        <v>Ras Tanura</v>
      </c>
      <c r="F25" s="108">
        <f>Input!O28</f>
        <v>19</v>
      </c>
      <c r="G25" s="108" t="str">
        <f>Input!Q28</f>
        <v>AECOM</v>
      </c>
      <c r="H25" s="108" t="str">
        <f>Input!P28</f>
        <v>Private</v>
      </c>
      <c r="I25" s="97">
        <f>Input!G28</f>
        <v>9000000</v>
      </c>
      <c r="J25" s="98">
        <f>'CEO Input'!P26</f>
        <v>2800000</v>
      </c>
      <c r="K25" s="108">
        <f>Input!AT28</f>
        <v>49</v>
      </c>
      <c r="L25" s="146" t="str">
        <f>Input!AY28</f>
        <v>Rejected</v>
      </c>
      <c r="M25" s="108"/>
      <c r="N25" s="108"/>
      <c r="O25" s="108"/>
      <c r="P25" s="108"/>
    </row>
    <row r="26" spans="3:16" ht="30" customHeight="1" x14ac:dyDescent="0.25">
      <c r="C26" s="108">
        <v>20</v>
      </c>
      <c r="D26" s="109">
        <f>Input!K29</f>
        <v>46218</v>
      </c>
      <c r="E26" s="108" t="str">
        <f>Input!D29</f>
        <v>Jubail</v>
      </c>
      <c r="F26" s="108">
        <f>Input!O29</f>
        <v>20</v>
      </c>
      <c r="G26" s="108" t="str">
        <f>Input!Q29</f>
        <v>AECOM</v>
      </c>
      <c r="H26" s="108" t="str">
        <f>Input!P29</f>
        <v>Semi</v>
      </c>
      <c r="I26" s="97">
        <f>Input!G29</f>
        <v>8000000</v>
      </c>
      <c r="J26" s="98">
        <f>'CEO Input'!P27</f>
        <v>4500000</v>
      </c>
      <c r="K26" s="108">
        <f>Input!AT29</f>
        <v>74</v>
      </c>
      <c r="L26" s="146" t="str">
        <f>Input!AY29</f>
        <v>Pending</v>
      </c>
      <c r="M26" s="108"/>
      <c r="N26" s="108"/>
      <c r="O26" s="108"/>
      <c r="P26" s="108"/>
    </row>
    <row r="27" spans="3:16" ht="30" customHeight="1" x14ac:dyDescent="0.25">
      <c r="C27" s="108">
        <v>21</v>
      </c>
      <c r="D27" s="109">
        <f>Input!K30</f>
        <v>46246</v>
      </c>
      <c r="E27" s="108" t="str">
        <f>Input!D30</f>
        <v>Hofuf</v>
      </c>
      <c r="F27" s="108">
        <f>Input!O30</f>
        <v>21</v>
      </c>
      <c r="G27" s="108" t="str">
        <f>Input!Q30</f>
        <v>AECOM</v>
      </c>
      <c r="H27" s="108" t="str">
        <f>Input!P30</f>
        <v>Gov</v>
      </c>
      <c r="I27" s="97">
        <f>Input!G30</f>
        <v>6500000</v>
      </c>
      <c r="J27" s="98">
        <f>'CEO Input'!P28</f>
        <v>3500000</v>
      </c>
      <c r="K27" s="108">
        <f>Input!AT30</f>
        <v>90</v>
      </c>
      <c r="L27" s="146" t="str">
        <f>Input!AY30</f>
        <v>Won</v>
      </c>
      <c r="M27" s="108"/>
      <c r="N27" s="108"/>
      <c r="O27" s="108"/>
      <c r="P27" s="108"/>
    </row>
    <row r="28" spans="3:16" ht="30" customHeight="1" x14ac:dyDescent="0.25">
      <c r="C28" s="108">
        <v>22</v>
      </c>
      <c r="D28" s="109">
        <f>Input!K31</f>
        <v>46274</v>
      </c>
      <c r="E28" s="108" t="str">
        <f>Input!D31</f>
        <v>Jeddah</v>
      </c>
      <c r="F28" s="108">
        <f>Input!O31</f>
        <v>22</v>
      </c>
      <c r="G28" s="108" t="str">
        <f>Input!Q31</f>
        <v>AECOM</v>
      </c>
      <c r="H28" s="108" t="str">
        <f>Input!P31</f>
        <v>Gov</v>
      </c>
      <c r="I28" s="97">
        <f>Input!G31</f>
        <v>3000000</v>
      </c>
      <c r="J28" s="98">
        <f>'CEO Input'!P29</f>
        <v>2800000</v>
      </c>
      <c r="K28" s="108">
        <f>Input!AT31</f>
        <v>88</v>
      </c>
      <c r="L28" s="146" t="str">
        <f>Input!AY31</f>
        <v>Lost</v>
      </c>
      <c r="M28" s="108"/>
      <c r="N28" s="108"/>
      <c r="O28" s="108"/>
      <c r="P28" s="108"/>
    </row>
  </sheetData>
  <mergeCells count="1">
    <mergeCell ref="C2:F4"/>
  </mergeCells>
  <conditionalFormatting sqref="K7:K28">
    <cfRule type="colorScale" priority="6">
      <colorScale>
        <cfvo type="min"/>
        <cfvo type="percentile" val="50"/>
        <cfvo type="max"/>
        <color rgb="FFF8696B"/>
        <color rgb="FFFFEB84"/>
        <color rgb="FF63BE7B"/>
      </colorScale>
    </cfRule>
  </conditionalFormatting>
  <conditionalFormatting sqref="L7:L28">
    <cfRule type="cellIs" dxfId="117" priority="1" operator="equal">
      <formula>"Pending"</formula>
    </cfRule>
    <cfRule type="cellIs" dxfId="116" priority="2" operator="equal">
      <formula>"Rejected"</formula>
    </cfRule>
    <cfRule type="cellIs" dxfId="115" priority="3" operator="equal">
      <formula>"Lost"</formula>
    </cfRule>
    <cfRule type="cellIs" dxfId="114" priority="4" operator="equal">
      <formula>"Won"</formula>
    </cfRule>
    <cfRule type="colorScale" priority="5">
      <colorScale>
        <cfvo type="min"/>
        <cfvo type="percentile" val="50"/>
        <cfvo type="max"/>
        <color rgb="FFF8696B"/>
        <color rgb="FFFCFCFF"/>
        <color rgb="FF63BE7B"/>
      </colorScale>
    </cfRule>
  </conditionalFormatting>
  <pageMargins left="0.75" right="0.75" top="1" bottom="1" header="0.5" footer="0.5"/>
  <pageSetup paperSize="9" scale="1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rgb="FFFF00FF"/>
    <pageSetUpPr fitToPage="1"/>
  </sheetPr>
  <dimension ref="C1:F12"/>
  <sheetViews>
    <sheetView showGridLines="0" view="pageBreakPreview" zoomScale="115" zoomScaleNormal="100" zoomScaleSheetLayoutView="115" workbookViewId="0">
      <selection activeCell="H9" sqref="H9"/>
    </sheetView>
  </sheetViews>
  <sheetFormatPr defaultColWidth="15.7109375" defaultRowHeight="30" customHeight="1" x14ac:dyDescent="0.25"/>
  <cols>
    <col min="1" max="1" width="15.7109375" style="110"/>
    <col min="2" max="2" width="5.5703125" style="110" customWidth="1"/>
    <col min="3" max="3" width="36.85546875" style="110" bestFit="1" customWidth="1"/>
    <col min="4" max="4" width="7.5703125" style="110" customWidth="1"/>
    <col min="5" max="5" width="19.7109375" style="110" customWidth="1"/>
    <col min="6" max="6" width="7" style="110" customWidth="1"/>
    <col min="7" max="7" width="5.5703125" style="110" customWidth="1"/>
    <col min="8" max="16384" width="15.7109375" style="110"/>
  </cols>
  <sheetData>
    <row r="1" spans="3:6" ht="22.5" customHeight="1" thickBot="1" x14ac:dyDescent="0.3"/>
    <row r="2" spans="3:6" ht="22.5" customHeight="1" x14ac:dyDescent="0.25">
      <c r="C2" s="193" t="e" vm="2">
        <v>#VALUE!</v>
      </c>
      <c r="D2" s="194"/>
      <c r="E2" s="194"/>
      <c r="F2" s="195"/>
    </row>
    <row r="3" spans="3:6" ht="22.5" customHeight="1" x14ac:dyDescent="0.25">
      <c r="C3" s="196"/>
      <c r="D3" s="197"/>
      <c r="E3" s="197"/>
      <c r="F3" s="198"/>
    </row>
    <row r="4" spans="3:6" ht="22.5" customHeight="1" thickBot="1" x14ac:dyDescent="0.3">
      <c r="C4" s="199"/>
      <c r="D4" s="200"/>
      <c r="E4" s="200"/>
      <c r="F4" s="201"/>
    </row>
    <row r="5" spans="3:6" ht="22.5" customHeight="1" thickBot="1" x14ac:dyDescent="0.3"/>
    <row r="6" spans="3:6" ht="40.5" customHeight="1" thickBot="1" x14ac:dyDescent="0.3">
      <c r="C6" s="111" t="s">
        <v>13</v>
      </c>
      <c r="D6" s="112"/>
      <c r="E6" s="113"/>
      <c r="F6" s="114"/>
    </row>
    <row r="8" spans="3:6" ht="30" customHeight="1" x14ac:dyDescent="0.25">
      <c r="C8" s="115" t="s">
        <v>14</v>
      </c>
      <c r="D8" s="115"/>
      <c r="E8" s="116">
        <f>COUNTA(History!E:E)-1</f>
        <v>22</v>
      </c>
      <c r="F8" s="116"/>
    </row>
    <row r="9" spans="3:6" ht="30" customHeight="1" x14ac:dyDescent="0.25">
      <c r="C9" s="115" t="s">
        <v>15</v>
      </c>
      <c r="D9" s="115"/>
      <c r="E9" s="116">
        <f>COUNTIF(History!L:L,"Won")</f>
        <v>9</v>
      </c>
      <c r="F9" s="116"/>
    </row>
    <row r="10" spans="3:6" ht="30" customHeight="1" x14ac:dyDescent="0.25">
      <c r="C10" s="115" t="s">
        <v>16</v>
      </c>
      <c r="D10" s="115"/>
      <c r="E10" s="117">
        <f>IFERROR(E9/E8,0)</f>
        <v>0.40909090909090912</v>
      </c>
      <c r="F10" s="116"/>
    </row>
    <row r="11" spans="3:6" ht="30" customHeight="1" x14ac:dyDescent="0.25">
      <c r="C11" s="115" t="s">
        <v>17</v>
      </c>
      <c r="D11" s="115"/>
      <c r="E11" s="118">
        <f>IFERROR(AVERAGEIF(History!L:L,"Won",History!K:K),0)</f>
        <v>85.111111111111114</v>
      </c>
      <c r="F11" s="116"/>
    </row>
    <row r="12" spans="3:6" ht="30" customHeight="1" x14ac:dyDescent="0.25">
      <c r="C12" s="119" t="s">
        <v>18</v>
      </c>
      <c r="D12" s="119"/>
      <c r="E12" s="293">
        <f>IFERROR(AVERAGEIF(History!L:L,"Lost",History!K:K),0)</f>
        <v>77.333333333333329</v>
      </c>
      <c r="F12" s="120"/>
    </row>
  </sheetData>
  <mergeCells count="1">
    <mergeCell ref="C2:F4"/>
  </mergeCells>
  <pageMargins left="0.75" right="0.75" top="1" bottom="1" header="0.5" footer="0.5"/>
  <pageSetup paperSize="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8701DA"/>
  </sheetPr>
  <dimension ref="C1:F15"/>
  <sheetViews>
    <sheetView showGridLines="0" view="pageBreakPreview" zoomScale="145" zoomScaleNormal="130" zoomScaleSheetLayoutView="145" workbookViewId="0">
      <selection activeCell="H17" sqref="H17"/>
    </sheetView>
  </sheetViews>
  <sheetFormatPr defaultRowHeight="24.95" customHeight="1" x14ac:dyDescent="0.25"/>
  <cols>
    <col min="1" max="1" width="9.140625" style="56"/>
    <col min="2" max="2" width="2.5703125" style="56" customWidth="1"/>
    <col min="3" max="3" width="34.140625" style="56" bestFit="1" customWidth="1"/>
    <col min="4" max="4" width="10.140625" style="56" customWidth="1"/>
    <col min="5" max="5" width="20.140625" style="56" bestFit="1" customWidth="1"/>
    <col min="6" max="6" width="9.140625" style="56"/>
    <col min="7" max="7" width="2.7109375" style="56" customWidth="1"/>
    <col min="8" max="16384" width="9.140625" style="56"/>
  </cols>
  <sheetData>
    <row r="1" spans="3:6" ht="11.25" customHeight="1" thickBot="1" x14ac:dyDescent="0.3"/>
    <row r="2" spans="3:6" ht="18" customHeight="1" x14ac:dyDescent="0.25">
      <c r="C2" s="202" t="e" vm="2">
        <v>#VALUE!</v>
      </c>
      <c r="D2" s="203"/>
      <c r="E2" s="203"/>
      <c r="F2" s="204"/>
    </row>
    <row r="3" spans="3:6" ht="18" customHeight="1" x14ac:dyDescent="0.25">
      <c r="C3" s="205"/>
      <c r="D3" s="206"/>
      <c r="E3" s="206"/>
      <c r="F3" s="207"/>
    </row>
    <row r="4" spans="3:6" ht="18" customHeight="1" thickBot="1" x14ac:dyDescent="0.3">
      <c r="C4" s="208"/>
      <c r="D4" s="209"/>
      <c r="E4" s="209"/>
      <c r="F4" s="210"/>
    </row>
    <row r="5" spans="3:6" ht="9.75" customHeight="1" thickBot="1" x14ac:dyDescent="0.3"/>
    <row r="6" spans="3:6" ht="35.25" customHeight="1" thickBot="1" x14ac:dyDescent="0.3">
      <c r="C6" s="122" t="s">
        <v>19</v>
      </c>
      <c r="D6" s="123"/>
      <c r="E6" s="124"/>
      <c r="F6" s="125"/>
    </row>
    <row r="7" spans="3:6" ht="10.5" customHeight="1" x14ac:dyDescent="0.25"/>
    <row r="8" spans="3:6" ht="24.95" customHeight="1" x14ac:dyDescent="0.25">
      <c r="C8" s="126" t="s">
        <v>20</v>
      </c>
      <c r="D8" s="127"/>
      <c r="E8" s="129">
        <f>Input!AT31</f>
        <v>88</v>
      </c>
      <c r="F8" s="127"/>
    </row>
    <row r="9" spans="3:6" ht="24.95" customHeight="1" x14ac:dyDescent="0.25">
      <c r="C9" s="121"/>
    </row>
    <row r="10" spans="3:6" ht="24.95" customHeight="1" x14ac:dyDescent="0.25">
      <c r="C10" s="126" t="s">
        <v>21</v>
      </c>
      <c r="D10" s="127"/>
      <c r="E10" s="128">
        <f>IFERROR(AVERAGEIF(History!L:L,"Won",History!K:K),0)</f>
        <v>85.111111111111114</v>
      </c>
      <c r="F10" s="127"/>
    </row>
    <row r="11" spans="3:6" ht="24.95" customHeight="1" x14ac:dyDescent="0.25">
      <c r="C11" s="126" t="s">
        <v>22</v>
      </c>
      <c r="D11" s="127"/>
      <c r="E11" s="128">
        <f>IFERROR(AVERAGEIF(History!L:L,"Lost",History!K:K),0)</f>
        <v>77.333333333333329</v>
      </c>
      <c r="F11" s="127"/>
    </row>
    <row r="12" spans="3:6" ht="24.95" customHeight="1" x14ac:dyDescent="0.25">
      <c r="C12" s="121"/>
    </row>
    <row r="13" spans="3:6" ht="24.95" customHeight="1" x14ac:dyDescent="0.25">
      <c r="C13" s="126" t="s">
        <v>23</v>
      </c>
      <c r="D13" s="127"/>
      <c r="E13" s="127" t="str">
        <f>IF(E8&gt;=E10,"High Chance",IF(E8&gt;=E11,"Medium Chance","Low Chance"))</f>
        <v>High Chance</v>
      </c>
      <c r="F13" s="127"/>
    </row>
    <row r="14" spans="3:6" ht="24.95" customHeight="1" x14ac:dyDescent="0.25">
      <c r="C14" s="121"/>
    </row>
    <row r="15" spans="3:6" ht="24.95" customHeight="1" x14ac:dyDescent="0.25">
      <c r="C15" s="126" t="s">
        <v>24</v>
      </c>
      <c r="D15" s="127"/>
      <c r="E15" s="127" t="str">
        <f>IF(E13="High Chance","Proceed strongly",IF(E13="Medium Chance","Review strategy","Consider no bid"))</f>
        <v>Proceed strongly</v>
      </c>
      <c r="F15" s="127"/>
    </row>
  </sheetData>
  <mergeCells count="1">
    <mergeCell ref="C2:F4"/>
  </mergeCells>
  <pageMargins left="0.75" right="0.75" top="1" bottom="1" header="0.5" footer="0.5"/>
  <pageSetup paperSize="9" scale="8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Input</vt:lpstr>
      <vt:lpstr>Data Processor</vt:lpstr>
      <vt:lpstr>Dashboard Summary</vt:lpstr>
      <vt:lpstr>CEO Input</vt:lpstr>
      <vt:lpstr>CEO Dashboard</vt:lpstr>
      <vt:lpstr>History</vt:lpstr>
      <vt:lpstr>Analytics</vt:lpstr>
      <vt:lpstr>Win Predictor</vt:lpstr>
      <vt:lpstr>Analytics!Print_Area</vt:lpstr>
      <vt:lpstr>'CEO Input'!Print_Area</vt:lpstr>
      <vt:lpstr>'Data Processor'!Print_Area</vt:lpstr>
      <vt:lpstr>History!Print_Area</vt:lpstr>
      <vt:lpstr>Input!Print_Area</vt:lpstr>
      <vt:lpstr>'Win Predictor'!Print_Area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Prem 8714</cp:lastModifiedBy>
  <dcterms:created xsi:type="dcterms:W3CDTF">2026-02-16T08:08:04Z</dcterms:created>
  <dcterms:modified xsi:type="dcterms:W3CDTF">2026-04-15T09:55:03Z</dcterms:modified>
</cp:coreProperties>
</file>